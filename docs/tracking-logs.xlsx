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Dashboard" sheetId="2" state="visible" r:id="rId2"/>
    <sheet name="Retailer Call Log" sheetId="3" state="visible" r:id="rId3"/>
    <sheet name="Seller Lead Log" sheetId="4" state="visible" r:id="rId4"/>
    <sheet name="Load Marg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;($#,##0);-"/>
    <numFmt numFmtId="165" formatCode="0.0%"/>
    <numFmt numFmtId="166" formatCode="0.0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1"/>
    </font>
    <font>
      <name val="Arial"/>
      <b val="1"/>
      <color rgb="00FFFFFF"/>
      <sz val="10"/>
    </font>
    <font>
      <name val="Arial"/>
      <i val="1"/>
      <color rgb="00808080"/>
      <sz val="10"/>
    </font>
    <font>
      <name val="Arial"/>
      <color rgb="000000FF"/>
      <sz val="10"/>
    </font>
    <font>
      <name val="Arial"/>
      <b val="1"/>
    </font>
    <font>
      <name val="Arial"/>
      <i val="1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595959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center"/>
    </xf>
    <xf numFmtId="0" fontId="3" fillId="0" borderId="0" pivotButton="0" quotePrefix="0" xfId="0"/>
    <xf numFmtId="0" fontId="2" fillId="0" borderId="0" pivotButton="0" quotePrefix="0" xfId="0"/>
    <xf numFmtId="1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8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3" borderId="1" pivotButton="0" quotePrefix="0" xfId="0"/>
    <xf numFmtId="164" fontId="5" fillId="3" borderId="1" pivotButton="0" quotePrefix="0" xfId="0"/>
    <xf numFmtId="164" fontId="0" fillId="0" borderId="0" pivotButton="0" quotePrefix="0" xfId="0"/>
    <xf numFmtId="0" fontId="4" fillId="4" borderId="1" applyAlignment="1" pivotButton="0" quotePrefix="0" xfId="0">
      <alignment vertical="center" wrapText="1"/>
    </xf>
    <xf numFmtId="165" fontId="5" fillId="3" borderId="1" pivotButton="0" quotePrefix="0" xfId="0"/>
    <xf numFmtId="0" fontId="7" fillId="0" borderId="0" pivotButton="0" quotePrefix="0" xfId="0"/>
    <xf numFmtId="0" fontId="6" fillId="0" borderId="1" pivotButton="0" quotePrefix="0" xfId="0"/>
    <xf numFmtId="164" fontId="6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0" fontId="2" fillId="0" borderId="1" pivotButton="0" quotePrefix="0" xfId="0"/>
    <xf numFmtId="165" fontId="6" fillId="5" borderId="0" pivotButton="0" quotePrefix="0" xfId="0"/>
    <xf numFmtId="0" fontId="6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Freight Business Tracking Logs</t>
        </is>
      </c>
    </row>
    <row r="2">
      <c r="A2" s="2" t="inlineStr"/>
    </row>
    <row r="3">
      <c r="A3" s="3" t="inlineStr">
        <is>
          <t>How to use</t>
        </is>
      </c>
    </row>
    <row r="4">
      <c r="A4" s="2" t="inlineStr">
        <is>
          <t>1. Retailer Call Log: one row per retailer call (see docs/retailer-outreach-script.md).</t>
        </is>
      </c>
    </row>
    <row r="5">
      <c r="A5" s="2" t="inlineStr">
        <is>
          <t>2. Seller Lead Log: one row per software-found load you verify by phone (see docs/seller-phone-check-sheet.md).</t>
        </is>
      </c>
    </row>
    <row r="6">
      <c r="A6" s="2" t="inlineStr">
        <is>
          <t>3. Load Margin: one row per load; enter costs and buyer price, the margin calculates itself.</t>
        </is>
      </c>
    </row>
    <row r="7">
      <c r="A7" s="2" t="inlineStr">
        <is>
          <t>4. Dashboard: the numbers the advisor board asked for. It updates automatically.</t>
        </is>
      </c>
    </row>
    <row r="8">
      <c r="A8" s="2" t="inlineStr"/>
    </row>
    <row r="9">
      <c r="A9" s="3" t="inlineStr">
        <is>
          <t>What to edit</t>
        </is>
      </c>
    </row>
    <row r="10">
      <c r="A10" s="2" t="inlineStr">
        <is>
          <t>Type only in the log rows starting at row 3 (blue text = your inputs). Row 2 on each log is a grey EXAMPLE row; it is not counted. Overwrite or delete it if you like.</t>
        </is>
      </c>
    </row>
    <row r="11">
      <c r="A11" s="2" t="inlineStr">
        <is>
          <t>Grey-headed columns marked 'calc' on Load Margin are formulas; do not type over them.</t>
        </is>
      </c>
    </row>
    <row r="12">
      <c r="A12" s="2" t="inlineStr">
        <is>
          <t>Dropdown columns (Result, Available?, Decision, etc.) only accept the listed values.</t>
        </is>
      </c>
    </row>
    <row r="13">
      <c r="A13" s="2" t="inlineStr"/>
    </row>
    <row r="14">
      <c r="A14" s="2" t="inlineStr">
        <is>
          <t>Targets (from the board): 20 retailer calls, 3-5 written commitments or deposits, 25%+ gross margin per load, under 30 days from purchase to sale.</t>
        </is>
      </c>
    </row>
    <row r="15">
      <c r="A15" s="2" t="inlineStr">
        <is>
          <t>The example rows use made-up values. Formulas cover rows 3 to 502 on each log.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26" customWidth="1" min="3" max="3"/>
  </cols>
  <sheetData>
    <row r="1">
      <c r="A1" s="4" t="inlineStr">
        <is>
          <t>Dashboard</t>
        </is>
      </c>
    </row>
    <row r="3">
      <c r="A3" s="5" t="inlineStr">
        <is>
          <t>Retailer outreach (Target)</t>
        </is>
      </c>
    </row>
    <row r="4">
      <c r="A4" s="6" t="inlineStr">
        <is>
          <t>Calls logged</t>
        </is>
      </c>
      <c r="B4" s="7">
        <f>COUNTA('Retailer Call Log'!B3:B502)</f>
        <v/>
      </c>
      <c r="C4" s="6" t="inlineStr">
        <is>
          <t>20</t>
        </is>
      </c>
    </row>
    <row r="5">
      <c r="A5" s="6" t="inlineStr">
        <is>
          <t>Retailers who agreed to talk</t>
        </is>
      </c>
      <c r="B5" s="7">
        <f>COUNTA('Retailer Call Log'!B3:B502)-COUNTIF('Retailer Call Log'!I3:I502,"No answer")</f>
        <v/>
      </c>
      <c r="C5" s="6" t="inlineStr"/>
    </row>
    <row r="6">
      <c r="A6" s="6" t="inlineStr">
        <is>
          <t>Talk rate</t>
        </is>
      </c>
      <c r="B6" s="8">
        <f>IFERROR(B5/B4,0)</f>
        <v/>
      </c>
      <c r="C6" s="6" t="inlineStr"/>
    </row>
    <row r="7">
      <c r="A7" s="6" t="inlineStr">
        <is>
          <t>Written commitments (LOI)</t>
        </is>
      </c>
      <c r="B7" s="7">
        <f>COUNTIF('Retailer Call Log'!I3:I502,"LOI")</f>
        <v/>
      </c>
      <c r="C7" s="6" t="inlineStr">
        <is>
          <t>3-5 (LOI + deposits)</t>
        </is>
      </c>
    </row>
    <row r="8">
      <c r="A8" s="6" t="inlineStr">
        <is>
          <t>Deposits</t>
        </is>
      </c>
      <c r="B8" s="7">
        <f>COUNTIF('Retailer Call Log'!I3:I502,"Deposit")</f>
        <v/>
      </c>
      <c r="C8" s="6" t="inlineStr"/>
    </row>
    <row r="9">
      <c r="A9" s="6" t="inlineStr">
        <is>
          <t>Total commitments</t>
        </is>
      </c>
      <c r="B9" s="7">
        <f>B7+B8</f>
        <v/>
      </c>
      <c r="C9" s="6" t="inlineStr">
        <is>
          <t>3-5</t>
        </is>
      </c>
    </row>
    <row r="11">
      <c r="A11" s="5" t="inlineStr">
        <is>
          <t>Software accuracy (Target)</t>
        </is>
      </c>
    </row>
    <row r="12">
      <c r="A12" s="6" t="inlineStr">
        <is>
          <t>Leads checked</t>
        </is>
      </c>
      <c r="B12" s="7">
        <f>COUNTA('Seller Lead Log'!A3:A502)</f>
        <v/>
      </c>
      <c r="C12" s="6" t="inlineStr">
        <is>
          <t>10+</t>
        </is>
      </c>
    </row>
    <row r="13">
      <c r="A13" s="6" t="inlineStr">
        <is>
          <t>Hit rate (available)</t>
        </is>
      </c>
      <c r="B13" s="8">
        <f>IFERROR(COUNTIF('Seller Lead Log'!E3:E502,"Y")/B12,0)</f>
        <v/>
      </c>
      <c r="C13" s="6" t="inlineStr">
        <is>
          <t>higher is better</t>
        </is>
      </c>
    </row>
    <row r="14">
      <c r="A14" s="6" t="inlineStr">
        <is>
          <t>Clean rate (available, title OK, manifest + photos)</t>
        </is>
      </c>
      <c r="B14" s="8">
        <f>IFERROR(COUNTIFS('Seller Lead Log'!E3:E502,"Y",'Seller Lead Log'!F3:F502,"Y",'Seller Lead Log'!G3:G502,"Y")/B12,0)</f>
        <v/>
      </c>
      <c r="C14" s="6" t="inlineStr"/>
    </row>
    <row r="15">
      <c r="A15" s="6" t="inlineStr">
        <is>
          <t>Go rate</t>
        </is>
      </c>
      <c r="B15" s="8">
        <f>IFERROR(COUNTIF('Seller Lead Log'!I3:I502,"Go")/B12,0)</f>
        <v/>
      </c>
      <c r="C15" s="6" t="inlineStr"/>
    </row>
    <row r="17">
      <c r="A17" s="5" t="inlineStr">
        <is>
          <t>Load economics (Target)</t>
        </is>
      </c>
    </row>
    <row r="18">
      <c r="A18" s="6" t="inlineStr">
        <is>
          <t>Loads closed</t>
        </is>
      </c>
      <c r="B18" s="7">
        <f>COUNT('Load Margin'!G3:G502)</f>
        <v/>
      </c>
      <c r="C18" s="6" t="inlineStr">
        <is>
          <t>3-5</t>
        </is>
      </c>
    </row>
    <row r="19">
      <c r="A19" s="6" t="inlineStr">
        <is>
          <t>Average gross margin</t>
        </is>
      </c>
      <c r="B19" s="8">
        <f>IFERROR(AVERAGE('Load Margin'!I3:I502),0)</f>
        <v/>
      </c>
      <c r="C19" s="6" t="inlineStr">
        <is>
          <t>25%+</t>
        </is>
      </c>
    </row>
    <row r="20">
      <c r="A20" s="6" t="inlineStr">
        <is>
          <t>Loads at or above margin target</t>
        </is>
      </c>
      <c r="B20" s="7">
        <f>COUNTIF('Load Margin'!K3:K502,"Yes")</f>
        <v/>
      </c>
      <c r="C20" s="6" t="inlineStr"/>
    </row>
    <row r="21">
      <c r="A21" s="6" t="inlineStr">
        <is>
          <t>Average days to sale</t>
        </is>
      </c>
      <c r="B21" s="9">
        <f>IFERROR(AVERAGE('Load Margin'!J3:J502),0)</f>
        <v/>
      </c>
      <c r="C21" s="6" t="inlineStr">
        <is>
          <t>under 30</t>
        </is>
      </c>
    </row>
    <row r="23">
      <c r="A23" s="10" t="inlineStr">
        <is>
          <t>Formulas ignore the grey example rows (row 2 on each log).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8" customWidth="1" min="4" max="4"/>
    <col width="24" customWidth="1" min="5" max="5"/>
    <col width="14" customWidth="1" min="6" max="6"/>
    <col width="28" customWidth="1" min="7" max="7"/>
    <col width="18" customWidth="1" min="8" max="8"/>
    <col width="16" customWidth="1" min="9" max="9"/>
    <col width="28" customWidth="1" min="10" max="10"/>
    <col width="14" customWidth="1" min="11" max="11"/>
  </cols>
  <sheetData>
    <row r="1" ht="32" customHeight="1">
      <c r="A1" s="11" t="inlineStr">
        <is>
          <t>Date</t>
        </is>
      </c>
      <c r="B1" s="11" t="inlineStr">
        <is>
          <t>Store</t>
        </is>
      </c>
      <c r="C1" s="11" t="inlineStr">
        <is>
          <t>Contact</t>
        </is>
      </c>
      <c r="D1" s="11" t="inlineStr">
        <is>
          <t>Category</t>
        </is>
      </c>
      <c r="E1" s="11" t="inlineStr">
        <is>
          <t>Size / price wanted</t>
        </is>
      </c>
      <c r="F1" s="11" t="inlineStr">
        <is>
          <t>Region</t>
        </is>
      </c>
      <c r="G1" s="11" t="inlineStr">
        <is>
          <t>Past problem</t>
        </is>
      </c>
      <c r="H1" s="11" t="inlineStr">
        <is>
          <t>Ask made</t>
        </is>
      </c>
      <c r="I1" s="11" t="inlineStr">
        <is>
          <t>Result</t>
        </is>
      </c>
      <c r="J1" s="11" t="inlineStr">
        <is>
          <t>Next step</t>
        </is>
      </c>
      <c r="K1" s="11" t="inlineStr">
        <is>
          <t>Next step date</t>
        </is>
      </c>
    </row>
    <row r="2">
      <c r="A2" s="12" t="inlineStr">
        <is>
          <t>2026-10-01</t>
        </is>
      </c>
      <c r="B2" s="12" t="inlineStr">
        <is>
          <t>Example Discount Mart</t>
        </is>
      </c>
      <c r="C2" s="12" t="inlineStr">
        <is>
          <t>Pat Lee</t>
        </is>
      </c>
      <c r="D2" s="12" t="inlineStr">
        <is>
          <t>Household goods</t>
        </is>
      </c>
      <c r="E2" s="12" t="inlineStr">
        <is>
          <t>Pallets, ~30% of retail</t>
        </is>
      </c>
      <c r="F2" s="12" t="inlineStr">
        <is>
          <t>Ohio</t>
        </is>
      </c>
      <c r="G2" s="12" t="inlineStr">
        <is>
          <t>Damaged pallets from a broker</t>
        </is>
      </c>
      <c r="H2" s="12" t="inlineStr">
        <is>
          <t>LOI</t>
        </is>
      </c>
      <c r="I2" s="12" t="inlineStr">
        <is>
          <t>LOI</t>
        </is>
      </c>
      <c r="J2" s="12" t="inlineStr">
        <is>
          <t>Send example load Fri</t>
        </is>
      </c>
      <c r="K2" s="12" t="inlineStr">
        <is>
          <t>2026-10-05</t>
        </is>
      </c>
    </row>
  </sheetData>
  <dataValidations count="2">
    <dataValidation sqref="H3:H502" showDropDown="0" showInputMessage="0" showErrorMessage="0" allowBlank="1" type="list">
      <formula1>"LOI,Deposit,Send deals,Other"</formula1>
    </dataValidation>
    <dataValidation sqref="I3:I502" showDropDown="0" showInputMessage="0" showErrorMessage="0" allowBlank="1" type="list">
      <formula1>"LOI,Deposit,Maybe,No,No answer"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2" customWidth="1" min="4" max="4"/>
    <col width="12" customWidth="1" min="5" max="5"/>
    <col width="12" customWidth="1" min="6" max="6"/>
    <col width="16" customWidth="1" min="7" max="7"/>
    <col width="14" customWidth="1" min="8" max="8"/>
    <col width="12" customWidth="1" min="9" max="9"/>
    <col width="36" customWidth="1" min="10" max="10"/>
  </cols>
  <sheetData>
    <row r="1" ht="32" customHeight="1">
      <c r="A1" s="11" t="inlineStr">
        <is>
          <t>Load ID</t>
        </is>
      </c>
      <c r="B1" s="11" t="inlineStr">
        <is>
          <t>Date</t>
        </is>
      </c>
      <c r="C1" s="11" t="inlineStr">
        <is>
          <t>Seller</t>
        </is>
      </c>
      <c r="D1" s="11" t="inlineStr">
        <is>
          <t>Contact / phone</t>
        </is>
      </c>
      <c r="E1" s="11" t="inlineStr">
        <is>
          <t>Available?</t>
        </is>
      </c>
      <c r="F1" s="11" t="inlineStr">
        <is>
          <t>Title OK?</t>
        </is>
      </c>
      <c r="G1" s="11" t="inlineStr">
        <is>
          <t>Manifest + photos?</t>
        </is>
      </c>
      <c r="H1" s="11" t="inlineStr">
        <is>
          <t>Price ($)</t>
        </is>
      </c>
      <c r="I1" s="11" t="inlineStr">
        <is>
          <t>Decision</t>
        </is>
      </c>
      <c r="J1" s="11" t="inlineStr">
        <is>
          <t>Why dropped / notes</t>
        </is>
      </c>
    </row>
    <row r="2">
      <c r="A2" s="12" t="inlineStr">
        <is>
          <t>L-001</t>
        </is>
      </c>
      <c r="B2" s="12" t="inlineStr">
        <is>
          <t>2026-10-01</t>
        </is>
      </c>
      <c r="C2" s="12" t="inlineStr">
        <is>
          <t>Example Liquidation Co</t>
        </is>
      </c>
      <c r="D2" s="12" t="inlineStr">
        <is>
          <t>Sam, 555-0100</t>
        </is>
      </c>
      <c r="E2" s="12" t="inlineStr">
        <is>
          <t>Y</t>
        </is>
      </c>
      <c r="F2" s="12" t="inlineStr">
        <is>
          <t>Y</t>
        </is>
      </c>
      <c r="G2" s="12" t="inlineStr">
        <is>
          <t>Y</t>
        </is>
      </c>
      <c r="H2" s="13" t="n">
        <v>4200</v>
      </c>
      <c r="I2" s="12" t="inlineStr">
        <is>
          <t>Go</t>
        </is>
      </c>
      <c r="J2" s="12" t="inlineStr">
        <is>
          <t>Example only</t>
        </is>
      </c>
    </row>
    <row r="3">
      <c r="H3" s="14" t="n"/>
    </row>
    <row r="4">
      <c r="H4" s="14" t="n"/>
    </row>
    <row r="5">
      <c r="H5" s="14" t="n"/>
    </row>
    <row r="6">
      <c r="H6" s="14" t="n"/>
    </row>
    <row r="7">
      <c r="H7" s="14" t="n"/>
    </row>
    <row r="8">
      <c r="H8" s="14" t="n"/>
    </row>
    <row r="9">
      <c r="H9" s="14" t="n"/>
    </row>
    <row r="10">
      <c r="H10" s="14" t="n"/>
    </row>
    <row r="11">
      <c r="H11" s="14" t="n"/>
    </row>
    <row r="12">
      <c r="H12" s="14" t="n"/>
    </row>
    <row r="13">
      <c r="H13" s="14" t="n"/>
    </row>
    <row r="14">
      <c r="H14" s="14" t="n"/>
    </row>
    <row r="15">
      <c r="H15" s="14" t="n"/>
    </row>
    <row r="16">
      <c r="H16" s="14" t="n"/>
    </row>
    <row r="17">
      <c r="H17" s="14" t="n"/>
    </row>
    <row r="18">
      <c r="H18" s="14" t="n"/>
    </row>
    <row r="19">
      <c r="H19" s="14" t="n"/>
    </row>
    <row r="20">
      <c r="H20" s="14" t="n"/>
    </row>
    <row r="21">
      <c r="H21" s="14" t="n"/>
    </row>
    <row r="22">
      <c r="H22" s="14" t="n"/>
    </row>
    <row r="23">
      <c r="H23" s="14" t="n"/>
    </row>
    <row r="24">
      <c r="H24" s="14" t="n"/>
    </row>
    <row r="25">
      <c r="H25" s="14" t="n"/>
    </row>
    <row r="26">
      <c r="H26" s="14" t="n"/>
    </row>
    <row r="27">
      <c r="H27" s="14" t="n"/>
    </row>
    <row r="28">
      <c r="H28" s="14" t="n"/>
    </row>
    <row r="29">
      <c r="H29" s="14" t="n"/>
    </row>
    <row r="30">
      <c r="H30" s="14" t="n"/>
    </row>
    <row r="31">
      <c r="H31" s="14" t="n"/>
    </row>
    <row r="32">
      <c r="H32" s="14" t="n"/>
    </row>
    <row r="33">
      <c r="H33" s="14" t="n"/>
    </row>
    <row r="34">
      <c r="H34" s="14" t="n"/>
    </row>
    <row r="35">
      <c r="H35" s="14" t="n"/>
    </row>
    <row r="36">
      <c r="H36" s="14" t="n"/>
    </row>
    <row r="37">
      <c r="H37" s="14" t="n"/>
    </row>
    <row r="38">
      <c r="H38" s="14" t="n"/>
    </row>
    <row r="39">
      <c r="H39" s="14" t="n"/>
    </row>
    <row r="40">
      <c r="H40" s="14" t="n"/>
    </row>
    <row r="41">
      <c r="H41" s="14" t="n"/>
    </row>
    <row r="42">
      <c r="H42" s="14" t="n"/>
    </row>
    <row r="43">
      <c r="H43" s="14" t="n"/>
    </row>
    <row r="44">
      <c r="H44" s="14" t="n"/>
    </row>
    <row r="45">
      <c r="H45" s="14" t="n"/>
    </row>
    <row r="46">
      <c r="H46" s="14" t="n"/>
    </row>
    <row r="47">
      <c r="H47" s="14" t="n"/>
    </row>
    <row r="48">
      <c r="H48" s="14" t="n"/>
    </row>
    <row r="49">
      <c r="H49" s="14" t="n"/>
    </row>
    <row r="50">
      <c r="H50" s="14" t="n"/>
    </row>
    <row r="51">
      <c r="H51" s="14" t="n"/>
    </row>
    <row r="52">
      <c r="H52" s="14" t="n"/>
    </row>
    <row r="53">
      <c r="H53" s="14" t="n"/>
    </row>
    <row r="54">
      <c r="H54" s="14" t="n"/>
    </row>
    <row r="55">
      <c r="H55" s="14" t="n"/>
    </row>
    <row r="56">
      <c r="H56" s="14" t="n"/>
    </row>
    <row r="57">
      <c r="H57" s="14" t="n"/>
    </row>
    <row r="58">
      <c r="H58" s="14" t="n"/>
    </row>
    <row r="59">
      <c r="H59" s="14" t="n"/>
    </row>
    <row r="60">
      <c r="H60" s="14" t="n"/>
    </row>
    <row r="61">
      <c r="H61" s="14" t="n"/>
    </row>
    <row r="62">
      <c r="H62" s="14" t="n"/>
    </row>
    <row r="63">
      <c r="H63" s="14" t="n"/>
    </row>
    <row r="64">
      <c r="H64" s="14" t="n"/>
    </row>
    <row r="65">
      <c r="H65" s="14" t="n"/>
    </row>
    <row r="66">
      <c r="H66" s="14" t="n"/>
    </row>
    <row r="67">
      <c r="H67" s="14" t="n"/>
    </row>
    <row r="68">
      <c r="H68" s="14" t="n"/>
    </row>
    <row r="69">
      <c r="H69" s="14" t="n"/>
    </row>
    <row r="70">
      <c r="H70" s="14" t="n"/>
    </row>
    <row r="71">
      <c r="H71" s="14" t="n"/>
    </row>
    <row r="72">
      <c r="H72" s="14" t="n"/>
    </row>
    <row r="73">
      <c r="H73" s="14" t="n"/>
    </row>
    <row r="74">
      <c r="H74" s="14" t="n"/>
    </row>
    <row r="75">
      <c r="H75" s="14" t="n"/>
    </row>
    <row r="76">
      <c r="H76" s="14" t="n"/>
    </row>
    <row r="77">
      <c r="H77" s="14" t="n"/>
    </row>
    <row r="78">
      <c r="H78" s="14" t="n"/>
    </row>
    <row r="79">
      <c r="H79" s="14" t="n"/>
    </row>
    <row r="80">
      <c r="H80" s="14" t="n"/>
    </row>
    <row r="81">
      <c r="H81" s="14" t="n"/>
    </row>
    <row r="82">
      <c r="H82" s="14" t="n"/>
    </row>
    <row r="83">
      <c r="H83" s="14" t="n"/>
    </row>
    <row r="84">
      <c r="H84" s="14" t="n"/>
    </row>
    <row r="85">
      <c r="H85" s="14" t="n"/>
    </row>
    <row r="86">
      <c r="H86" s="14" t="n"/>
    </row>
    <row r="87">
      <c r="H87" s="14" t="n"/>
    </row>
    <row r="88">
      <c r="H88" s="14" t="n"/>
    </row>
    <row r="89">
      <c r="H89" s="14" t="n"/>
    </row>
    <row r="90">
      <c r="H90" s="14" t="n"/>
    </row>
    <row r="91">
      <c r="H91" s="14" t="n"/>
    </row>
    <row r="92">
      <c r="H92" s="14" t="n"/>
    </row>
    <row r="93">
      <c r="H93" s="14" t="n"/>
    </row>
    <row r="94">
      <c r="H94" s="14" t="n"/>
    </row>
    <row r="95">
      <c r="H95" s="14" t="n"/>
    </row>
    <row r="96">
      <c r="H96" s="14" t="n"/>
    </row>
    <row r="97">
      <c r="H97" s="14" t="n"/>
    </row>
    <row r="98">
      <c r="H98" s="14" t="n"/>
    </row>
    <row r="99">
      <c r="H99" s="14" t="n"/>
    </row>
    <row r="100">
      <c r="H100" s="14" t="n"/>
    </row>
    <row r="101">
      <c r="H101" s="14" t="n"/>
    </row>
    <row r="102">
      <c r="H102" s="14" t="n"/>
    </row>
    <row r="103">
      <c r="H103" s="14" t="n"/>
    </row>
    <row r="104">
      <c r="H104" s="14" t="n"/>
    </row>
    <row r="105">
      <c r="H105" s="14" t="n"/>
    </row>
    <row r="106">
      <c r="H106" s="14" t="n"/>
    </row>
    <row r="107">
      <c r="H107" s="14" t="n"/>
    </row>
    <row r="108">
      <c r="H108" s="14" t="n"/>
    </row>
    <row r="109">
      <c r="H109" s="14" t="n"/>
    </row>
    <row r="110">
      <c r="H110" s="14" t="n"/>
    </row>
    <row r="111">
      <c r="H111" s="14" t="n"/>
    </row>
    <row r="112">
      <c r="H112" s="14" t="n"/>
    </row>
    <row r="113">
      <c r="H113" s="14" t="n"/>
    </row>
    <row r="114">
      <c r="H114" s="14" t="n"/>
    </row>
    <row r="115">
      <c r="H115" s="14" t="n"/>
    </row>
    <row r="116">
      <c r="H116" s="14" t="n"/>
    </row>
    <row r="117">
      <c r="H117" s="14" t="n"/>
    </row>
    <row r="118">
      <c r="H118" s="14" t="n"/>
    </row>
    <row r="119">
      <c r="H119" s="14" t="n"/>
    </row>
    <row r="120">
      <c r="H120" s="14" t="n"/>
    </row>
    <row r="121">
      <c r="H121" s="14" t="n"/>
    </row>
    <row r="122">
      <c r="H122" s="14" t="n"/>
    </row>
    <row r="123">
      <c r="H123" s="14" t="n"/>
    </row>
    <row r="124">
      <c r="H124" s="14" t="n"/>
    </row>
    <row r="125">
      <c r="H125" s="14" t="n"/>
    </row>
    <row r="126">
      <c r="H126" s="14" t="n"/>
    </row>
    <row r="127">
      <c r="H127" s="14" t="n"/>
    </row>
    <row r="128">
      <c r="H128" s="14" t="n"/>
    </row>
    <row r="129">
      <c r="H129" s="14" t="n"/>
    </row>
    <row r="130">
      <c r="H130" s="14" t="n"/>
    </row>
    <row r="131">
      <c r="H131" s="14" t="n"/>
    </row>
    <row r="132">
      <c r="H132" s="14" t="n"/>
    </row>
    <row r="133">
      <c r="H133" s="14" t="n"/>
    </row>
    <row r="134">
      <c r="H134" s="14" t="n"/>
    </row>
    <row r="135">
      <c r="H135" s="14" t="n"/>
    </row>
    <row r="136">
      <c r="H136" s="14" t="n"/>
    </row>
    <row r="137">
      <c r="H137" s="14" t="n"/>
    </row>
    <row r="138">
      <c r="H138" s="14" t="n"/>
    </row>
    <row r="139">
      <c r="H139" s="14" t="n"/>
    </row>
    <row r="140">
      <c r="H140" s="14" t="n"/>
    </row>
    <row r="141">
      <c r="H141" s="14" t="n"/>
    </row>
    <row r="142">
      <c r="H142" s="14" t="n"/>
    </row>
    <row r="143">
      <c r="H143" s="14" t="n"/>
    </row>
    <row r="144">
      <c r="H144" s="14" t="n"/>
    </row>
    <row r="145">
      <c r="H145" s="14" t="n"/>
    </row>
    <row r="146">
      <c r="H146" s="14" t="n"/>
    </row>
    <row r="147">
      <c r="H147" s="14" t="n"/>
    </row>
    <row r="148">
      <c r="H148" s="14" t="n"/>
    </row>
    <row r="149">
      <c r="H149" s="14" t="n"/>
    </row>
    <row r="150">
      <c r="H150" s="14" t="n"/>
    </row>
    <row r="151">
      <c r="H151" s="14" t="n"/>
    </row>
    <row r="152">
      <c r="H152" s="14" t="n"/>
    </row>
    <row r="153">
      <c r="H153" s="14" t="n"/>
    </row>
    <row r="154">
      <c r="H154" s="14" t="n"/>
    </row>
    <row r="155">
      <c r="H155" s="14" t="n"/>
    </row>
    <row r="156">
      <c r="H156" s="14" t="n"/>
    </row>
    <row r="157">
      <c r="H157" s="14" t="n"/>
    </row>
    <row r="158">
      <c r="H158" s="14" t="n"/>
    </row>
    <row r="159">
      <c r="H159" s="14" t="n"/>
    </row>
    <row r="160">
      <c r="H160" s="14" t="n"/>
    </row>
    <row r="161">
      <c r="H161" s="14" t="n"/>
    </row>
    <row r="162">
      <c r="H162" s="14" t="n"/>
    </row>
    <row r="163">
      <c r="H163" s="14" t="n"/>
    </row>
    <row r="164">
      <c r="H164" s="14" t="n"/>
    </row>
    <row r="165">
      <c r="H165" s="14" t="n"/>
    </row>
    <row r="166">
      <c r="H166" s="14" t="n"/>
    </row>
    <row r="167">
      <c r="H167" s="14" t="n"/>
    </row>
    <row r="168">
      <c r="H168" s="14" t="n"/>
    </row>
    <row r="169">
      <c r="H169" s="14" t="n"/>
    </row>
    <row r="170">
      <c r="H170" s="14" t="n"/>
    </row>
    <row r="171">
      <c r="H171" s="14" t="n"/>
    </row>
    <row r="172">
      <c r="H172" s="14" t="n"/>
    </row>
    <row r="173">
      <c r="H173" s="14" t="n"/>
    </row>
    <row r="174">
      <c r="H174" s="14" t="n"/>
    </row>
    <row r="175">
      <c r="H175" s="14" t="n"/>
    </row>
    <row r="176">
      <c r="H176" s="14" t="n"/>
    </row>
    <row r="177">
      <c r="H177" s="14" t="n"/>
    </row>
    <row r="178">
      <c r="H178" s="14" t="n"/>
    </row>
    <row r="179">
      <c r="H179" s="14" t="n"/>
    </row>
    <row r="180">
      <c r="H180" s="14" t="n"/>
    </row>
    <row r="181">
      <c r="H181" s="14" t="n"/>
    </row>
    <row r="182">
      <c r="H182" s="14" t="n"/>
    </row>
    <row r="183">
      <c r="H183" s="14" t="n"/>
    </row>
    <row r="184">
      <c r="H184" s="14" t="n"/>
    </row>
    <row r="185">
      <c r="H185" s="14" t="n"/>
    </row>
    <row r="186">
      <c r="H186" s="14" t="n"/>
    </row>
    <row r="187">
      <c r="H187" s="14" t="n"/>
    </row>
    <row r="188">
      <c r="H188" s="14" t="n"/>
    </row>
    <row r="189">
      <c r="H189" s="14" t="n"/>
    </row>
    <row r="190">
      <c r="H190" s="14" t="n"/>
    </row>
    <row r="191">
      <c r="H191" s="14" t="n"/>
    </row>
    <row r="192">
      <c r="H192" s="14" t="n"/>
    </row>
    <row r="193">
      <c r="H193" s="14" t="n"/>
    </row>
    <row r="194">
      <c r="H194" s="14" t="n"/>
    </row>
    <row r="195">
      <c r="H195" s="14" t="n"/>
    </row>
    <row r="196">
      <c r="H196" s="14" t="n"/>
    </row>
    <row r="197">
      <c r="H197" s="14" t="n"/>
    </row>
    <row r="198">
      <c r="H198" s="14" t="n"/>
    </row>
    <row r="199">
      <c r="H199" s="14" t="n"/>
    </row>
    <row r="200">
      <c r="H200" s="14" t="n"/>
    </row>
    <row r="201">
      <c r="H201" s="14" t="n"/>
    </row>
    <row r="202">
      <c r="H202" s="14" t="n"/>
    </row>
    <row r="203">
      <c r="H203" s="14" t="n"/>
    </row>
    <row r="204">
      <c r="H204" s="14" t="n"/>
    </row>
    <row r="205">
      <c r="H205" s="14" t="n"/>
    </row>
    <row r="206">
      <c r="H206" s="14" t="n"/>
    </row>
    <row r="207">
      <c r="H207" s="14" t="n"/>
    </row>
    <row r="208">
      <c r="H208" s="14" t="n"/>
    </row>
    <row r="209">
      <c r="H209" s="14" t="n"/>
    </row>
    <row r="210">
      <c r="H210" s="14" t="n"/>
    </row>
    <row r="211">
      <c r="H211" s="14" t="n"/>
    </row>
    <row r="212">
      <c r="H212" s="14" t="n"/>
    </row>
    <row r="213">
      <c r="H213" s="14" t="n"/>
    </row>
    <row r="214">
      <c r="H214" s="14" t="n"/>
    </row>
    <row r="215">
      <c r="H215" s="14" t="n"/>
    </row>
    <row r="216">
      <c r="H216" s="14" t="n"/>
    </row>
    <row r="217">
      <c r="H217" s="14" t="n"/>
    </row>
    <row r="218">
      <c r="H218" s="14" t="n"/>
    </row>
    <row r="219">
      <c r="H219" s="14" t="n"/>
    </row>
    <row r="220">
      <c r="H220" s="14" t="n"/>
    </row>
    <row r="221">
      <c r="H221" s="14" t="n"/>
    </row>
    <row r="222">
      <c r="H222" s="14" t="n"/>
    </row>
    <row r="223">
      <c r="H223" s="14" t="n"/>
    </row>
    <row r="224">
      <c r="H224" s="14" t="n"/>
    </row>
    <row r="225">
      <c r="H225" s="14" t="n"/>
    </row>
    <row r="226">
      <c r="H226" s="14" t="n"/>
    </row>
    <row r="227">
      <c r="H227" s="14" t="n"/>
    </row>
    <row r="228">
      <c r="H228" s="14" t="n"/>
    </row>
    <row r="229">
      <c r="H229" s="14" t="n"/>
    </row>
    <row r="230">
      <c r="H230" s="14" t="n"/>
    </row>
    <row r="231">
      <c r="H231" s="14" t="n"/>
    </row>
    <row r="232">
      <c r="H232" s="14" t="n"/>
    </row>
    <row r="233">
      <c r="H233" s="14" t="n"/>
    </row>
    <row r="234">
      <c r="H234" s="14" t="n"/>
    </row>
    <row r="235">
      <c r="H235" s="14" t="n"/>
    </row>
    <row r="236">
      <c r="H236" s="14" t="n"/>
    </row>
    <row r="237">
      <c r="H237" s="14" t="n"/>
    </row>
    <row r="238">
      <c r="H238" s="14" t="n"/>
    </row>
    <row r="239">
      <c r="H239" s="14" t="n"/>
    </row>
    <row r="240">
      <c r="H240" s="14" t="n"/>
    </row>
    <row r="241">
      <c r="H241" s="14" t="n"/>
    </row>
    <row r="242">
      <c r="H242" s="14" t="n"/>
    </row>
    <row r="243">
      <c r="H243" s="14" t="n"/>
    </row>
    <row r="244">
      <c r="H244" s="14" t="n"/>
    </row>
    <row r="245">
      <c r="H245" s="14" t="n"/>
    </row>
    <row r="246">
      <c r="H246" s="14" t="n"/>
    </row>
    <row r="247">
      <c r="H247" s="14" t="n"/>
    </row>
    <row r="248">
      <c r="H248" s="14" t="n"/>
    </row>
    <row r="249">
      <c r="H249" s="14" t="n"/>
    </row>
    <row r="250">
      <c r="H250" s="14" t="n"/>
    </row>
    <row r="251">
      <c r="H251" s="14" t="n"/>
    </row>
    <row r="252">
      <c r="H252" s="14" t="n"/>
    </row>
    <row r="253">
      <c r="H253" s="14" t="n"/>
    </row>
    <row r="254">
      <c r="H254" s="14" t="n"/>
    </row>
    <row r="255">
      <c r="H255" s="14" t="n"/>
    </row>
    <row r="256">
      <c r="H256" s="14" t="n"/>
    </row>
    <row r="257">
      <c r="H257" s="14" t="n"/>
    </row>
    <row r="258">
      <c r="H258" s="14" t="n"/>
    </row>
    <row r="259">
      <c r="H259" s="14" t="n"/>
    </row>
    <row r="260">
      <c r="H260" s="14" t="n"/>
    </row>
    <row r="261">
      <c r="H261" s="14" t="n"/>
    </row>
    <row r="262">
      <c r="H262" s="14" t="n"/>
    </row>
    <row r="263">
      <c r="H263" s="14" t="n"/>
    </row>
    <row r="264">
      <c r="H264" s="14" t="n"/>
    </row>
    <row r="265">
      <c r="H265" s="14" t="n"/>
    </row>
    <row r="266">
      <c r="H266" s="14" t="n"/>
    </row>
    <row r="267">
      <c r="H267" s="14" t="n"/>
    </row>
    <row r="268">
      <c r="H268" s="14" t="n"/>
    </row>
    <row r="269">
      <c r="H269" s="14" t="n"/>
    </row>
    <row r="270">
      <c r="H270" s="14" t="n"/>
    </row>
    <row r="271">
      <c r="H271" s="14" t="n"/>
    </row>
    <row r="272">
      <c r="H272" s="14" t="n"/>
    </row>
    <row r="273">
      <c r="H273" s="14" t="n"/>
    </row>
    <row r="274">
      <c r="H274" s="14" t="n"/>
    </row>
    <row r="275">
      <c r="H275" s="14" t="n"/>
    </row>
    <row r="276">
      <c r="H276" s="14" t="n"/>
    </row>
    <row r="277">
      <c r="H277" s="14" t="n"/>
    </row>
    <row r="278">
      <c r="H278" s="14" t="n"/>
    </row>
    <row r="279">
      <c r="H279" s="14" t="n"/>
    </row>
    <row r="280">
      <c r="H280" s="14" t="n"/>
    </row>
    <row r="281">
      <c r="H281" s="14" t="n"/>
    </row>
    <row r="282">
      <c r="H282" s="14" t="n"/>
    </row>
    <row r="283">
      <c r="H283" s="14" t="n"/>
    </row>
    <row r="284">
      <c r="H284" s="14" t="n"/>
    </row>
    <row r="285">
      <c r="H285" s="14" t="n"/>
    </row>
    <row r="286">
      <c r="H286" s="14" t="n"/>
    </row>
    <row r="287">
      <c r="H287" s="14" t="n"/>
    </row>
    <row r="288">
      <c r="H288" s="14" t="n"/>
    </row>
    <row r="289">
      <c r="H289" s="14" t="n"/>
    </row>
    <row r="290">
      <c r="H290" s="14" t="n"/>
    </row>
    <row r="291">
      <c r="H291" s="14" t="n"/>
    </row>
    <row r="292">
      <c r="H292" s="14" t="n"/>
    </row>
    <row r="293">
      <c r="H293" s="14" t="n"/>
    </row>
    <row r="294">
      <c r="H294" s="14" t="n"/>
    </row>
    <row r="295">
      <c r="H295" s="14" t="n"/>
    </row>
    <row r="296">
      <c r="H296" s="14" t="n"/>
    </row>
    <row r="297">
      <c r="H297" s="14" t="n"/>
    </row>
    <row r="298">
      <c r="H298" s="14" t="n"/>
    </row>
    <row r="299">
      <c r="H299" s="14" t="n"/>
    </row>
    <row r="300">
      <c r="H300" s="14" t="n"/>
    </row>
    <row r="301">
      <c r="H301" s="14" t="n"/>
    </row>
    <row r="302">
      <c r="H302" s="14" t="n"/>
    </row>
    <row r="303">
      <c r="H303" s="14" t="n"/>
    </row>
    <row r="304">
      <c r="H304" s="14" t="n"/>
    </row>
    <row r="305">
      <c r="H305" s="14" t="n"/>
    </row>
    <row r="306">
      <c r="H306" s="14" t="n"/>
    </row>
    <row r="307">
      <c r="H307" s="14" t="n"/>
    </row>
    <row r="308">
      <c r="H308" s="14" t="n"/>
    </row>
    <row r="309">
      <c r="H309" s="14" t="n"/>
    </row>
    <row r="310">
      <c r="H310" s="14" t="n"/>
    </row>
    <row r="311">
      <c r="H311" s="14" t="n"/>
    </row>
    <row r="312">
      <c r="H312" s="14" t="n"/>
    </row>
    <row r="313">
      <c r="H313" s="14" t="n"/>
    </row>
    <row r="314">
      <c r="H314" s="14" t="n"/>
    </row>
    <row r="315">
      <c r="H315" s="14" t="n"/>
    </row>
    <row r="316">
      <c r="H316" s="14" t="n"/>
    </row>
    <row r="317">
      <c r="H317" s="14" t="n"/>
    </row>
    <row r="318">
      <c r="H318" s="14" t="n"/>
    </row>
    <row r="319">
      <c r="H319" s="14" t="n"/>
    </row>
    <row r="320">
      <c r="H320" s="14" t="n"/>
    </row>
    <row r="321">
      <c r="H321" s="14" t="n"/>
    </row>
    <row r="322">
      <c r="H322" s="14" t="n"/>
    </row>
    <row r="323">
      <c r="H323" s="14" t="n"/>
    </row>
    <row r="324">
      <c r="H324" s="14" t="n"/>
    </row>
    <row r="325">
      <c r="H325" s="14" t="n"/>
    </row>
    <row r="326">
      <c r="H326" s="14" t="n"/>
    </row>
    <row r="327">
      <c r="H327" s="14" t="n"/>
    </row>
    <row r="328">
      <c r="H328" s="14" t="n"/>
    </row>
    <row r="329">
      <c r="H329" s="14" t="n"/>
    </row>
    <row r="330">
      <c r="H330" s="14" t="n"/>
    </row>
    <row r="331">
      <c r="H331" s="14" t="n"/>
    </row>
    <row r="332">
      <c r="H332" s="14" t="n"/>
    </row>
    <row r="333">
      <c r="H333" s="14" t="n"/>
    </row>
    <row r="334">
      <c r="H334" s="14" t="n"/>
    </row>
    <row r="335">
      <c r="H335" s="14" t="n"/>
    </row>
    <row r="336">
      <c r="H336" s="14" t="n"/>
    </row>
    <row r="337">
      <c r="H337" s="14" t="n"/>
    </row>
    <row r="338">
      <c r="H338" s="14" t="n"/>
    </row>
    <row r="339">
      <c r="H339" s="14" t="n"/>
    </row>
    <row r="340">
      <c r="H340" s="14" t="n"/>
    </row>
    <row r="341">
      <c r="H341" s="14" t="n"/>
    </row>
    <row r="342">
      <c r="H342" s="14" t="n"/>
    </row>
    <row r="343">
      <c r="H343" s="14" t="n"/>
    </row>
    <row r="344">
      <c r="H344" s="14" t="n"/>
    </row>
    <row r="345">
      <c r="H345" s="14" t="n"/>
    </row>
    <row r="346">
      <c r="H346" s="14" t="n"/>
    </row>
    <row r="347">
      <c r="H347" s="14" t="n"/>
    </row>
    <row r="348">
      <c r="H348" s="14" t="n"/>
    </row>
    <row r="349">
      <c r="H349" s="14" t="n"/>
    </row>
    <row r="350">
      <c r="H350" s="14" t="n"/>
    </row>
    <row r="351">
      <c r="H351" s="14" t="n"/>
    </row>
    <row r="352">
      <c r="H352" s="14" t="n"/>
    </row>
    <row r="353">
      <c r="H353" s="14" t="n"/>
    </row>
    <row r="354">
      <c r="H354" s="14" t="n"/>
    </row>
    <row r="355">
      <c r="H355" s="14" t="n"/>
    </row>
    <row r="356">
      <c r="H356" s="14" t="n"/>
    </row>
    <row r="357">
      <c r="H357" s="14" t="n"/>
    </row>
    <row r="358">
      <c r="H358" s="14" t="n"/>
    </row>
    <row r="359">
      <c r="H359" s="14" t="n"/>
    </row>
    <row r="360">
      <c r="H360" s="14" t="n"/>
    </row>
    <row r="361">
      <c r="H361" s="14" t="n"/>
    </row>
    <row r="362">
      <c r="H362" s="14" t="n"/>
    </row>
    <row r="363">
      <c r="H363" s="14" t="n"/>
    </row>
    <row r="364">
      <c r="H364" s="14" t="n"/>
    </row>
    <row r="365">
      <c r="H365" s="14" t="n"/>
    </row>
    <row r="366">
      <c r="H366" s="14" t="n"/>
    </row>
    <row r="367">
      <c r="H367" s="14" t="n"/>
    </row>
    <row r="368">
      <c r="H368" s="14" t="n"/>
    </row>
    <row r="369">
      <c r="H369" s="14" t="n"/>
    </row>
    <row r="370">
      <c r="H370" s="14" t="n"/>
    </row>
    <row r="371">
      <c r="H371" s="14" t="n"/>
    </row>
    <row r="372">
      <c r="H372" s="14" t="n"/>
    </row>
    <row r="373">
      <c r="H373" s="14" t="n"/>
    </row>
    <row r="374">
      <c r="H374" s="14" t="n"/>
    </row>
    <row r="375">
      <c r="H375" s="14" t="n"/>
    </row>
    <row r="376">
      <c r="H376" s="14" t="n"/>
    </row>
    <row r="377">
      <c r="H377" s="14" t="n"/>
    </row>
    <row r="378">
      <c r="H378" s="14" t="n"/>
    </row>
    <row r="379">
      <c r="H379" s="14" t="n"/>
    </row>
    <row r="380">
      <c r="H380" s="14" t="n"/>
    </row>
    <row r="381">
      <c r="H381" s="14" t="n"/>
    </row>
    <row r="382">
      <c r="H382" s="14" t="n"/>
    </row>
    <row r="383">
      <c r="H383" s="14" t="n"/>
    </row>
    <row r="384">
      <c r="H384" s="14" t="n"/>
    </row>
    <row r="385">
      <c r="H385" s="14" t="n"/>
    </row>
    <row r="386">
      <c r="H386" s="14" t="n"/>
    </row>
    <row r="387">
      <c r="H387" s="14" t="n"/>
    </row>
    <row r="388">
      <c r="H388" s="14" t="n"/>
    </row>
    <row r="389">
      <c r="H389" s="14" t="n"/>
    </row>
    <row r="390">
      <c r="H390" s="14" t="n"/>
    </row>
    <row r="391">
      <c r="H391" s="14" t="n"/>
    </row>
    <row r="392">
      <c r="H392" s="14" t="n"/>
    </row>
    <row r="393">
      <c r="H393" s="14" t="n"/>
    </row>
    <row r="394">
      <c r="H394" s="14" t="n"/>
    </row>
    <row r="395">
      <c r="H395" s="14" t="n"/>
    </row>
    <row r="396">
      <c r="H396" s="14" t="n"/>
    </row>
    <row r="397">
      <c r="H397" s="14" t="n"/>
    </row>
    <row r="398">
      <c r="H398" s="14" t="n"/>
    </row>
    <row r="399">
      <c r="H399" s="14" t="n"/>
    </row>
    <row r="400">
      <c r="H400" s="14" t="n"/>
    </row>
    <row r="401">
      <c r="H401" s="14" t="n"/>
    </row>
    <row r="402">
      <c r="H402" s="14" t="n"/>
    </row>
    <row r="403">
      <c r="H403" s="14" t="n"/>
    </row>
    <row r="404">
      <c r="H404" s="14" t="n"/>
    </row>
    <row r="405">
      <c r="H405" s="14" t="n"/>
    </row>
    <row r="406">
      <c r="H406" s="14" t="n"/>
    </row>
    <row r="407">
      <c r="H407" s="14" t="n"/>
    </row>
    <row r="408">
      <c r="H408" s="14" t="n"/>
    </row>
    <row r="409">
      <c r="H409" s="14" t="n"/>
    </row>
    <row r="410">
      <c r="H410" s="14" t="n"/>
    </row>
    <row r="411">
      <c r="H411" s="14" t="n"/>
    </row>
    <row r="412">
      <c r="H412" s="14" t="n"/>
    </row>
    <row r="413">
      <c r="H413" s="14" t="n"/>
    </row>
    <row r="414">
      <c r="H414" s="14" t="n"/>
    </row>
    <row r="415">
      <c r="H415" s="14" t="n"/>
    </row>
    <row r="416">
      <c r="H416" s="14" t="n"/>
    </row>
    <row r="417">
      <c r="H417" s="14" t="n"/>
    </row>
    <row r="418">
      <c r="H418" s="14" t="n"/>
    </row>
    <row r="419">
      <c r="H419" s="14" t="n"/>
    </row>
    <row r="420">
      <c r="H420" s="14" t="n"/>
    </row>
    <row r="421">
      <c r="H421" s="14" t="n"/>
    </row>
    <row r="422">
      <c r="H422" s="14" t="n"/>
    </row>
    <row r="423">
      <c r="H423" s="14" t="n"/>
    </row>
    <row r="424">
      <c r="H424" s="14" t="n"/>
    </row>
    <row r="425">
      <c r="H425" s="14" t="n"/>
    </row>
    <row r="426">
      <c r="H426" s="14" t="n"/>
    </row>
    <row r="427">
      <c r="H427" s="14" t="n"/>
    </row>
    <row r="428">
      <c r="H428" s="14" t="n"/>
    </row>
    <row r="429">
      <c r="H429" s="14" t="n"/>
    </row>
    <row r="430">
      <c r="H430" s="14" t="n"/>
    </row>
    <row r="431">
      <c r="H431" s="14" t="n"/>
    </row>
    <row r="432">
      <c r="H432" s="14" t="n"/>
    </row>
    <row r="433">
      <c r="H433" s="14" t="n"/>
    </row>
    <row r="434">
      <c r="H434" s="14" t="n"/>
    </row>
    <row r="435">
      <c r="H435" s="14" t="n"/>
    </row>
    <row r="436">
      <c r="H436" s="14" t="n"/>
    </row>
    <row r="437">
      <c r="H437" s="14" t="n"/>
    </row>
    <row r="438">
      <c r="H438" s="14" t="n"/>
    </row>
    <row r="439">
      <c r="H439" s="14" t="n"/>
    </row>
    <row r="440">
      <c r="H440" s="14" t="n"/>
    </row>
    <row r="441">
      <c r="H441" s="14" t="n"/>
    </row>
    <row r="442">
      <c r="H442" s="14" t="n"/>
    </row>
    <row r="443">
      <c r="H443" s="14" t="n"/>
    </row>
    <row r="444">
      <c r="H444" s="14" t="n"/>
    </row>
    <row r="445">
      <c r="H445" s="14" t="n"/>
    </row>
    <row r="446">
      <c r="H446" s="14" t="n"/>
    </row>
    <row r="447">
      <c r="H447" s="14" t="n"/>
    </row>
    <row r="448">
      <c r="H448" s="14" t="n"/>
    </row>
    <row r="449">
      <c r="H449" s="14" t="n"/>
    </row>
    <row r="450">
      <c r="H450" s="14" t="n"/>
    </row>
    <row r="451">
      <c r="H451" s="14" t="n"/>
    </row>
    <row r="452">
      <c r="H452" s="14" t="n"/>
    </row>
    <row r="453">
      <c r="H453" s="14" t="n"/>
    </row>
    <row r="454">
      <c r="H454" s="14" t="n"/>
    </row>
    <row r="455">
      <c r="H455" s="14" t="n"/>
    </row>
    <row r="456">
      <c r="H456" s="14" t="n"/>
    </row>
    <row r="457">
      <c r="H457" s="14" t="n"/>
    </row>
    <row r="458">
      <c r="H458" s="14" t="n"/>
    </row>
    <row r="459">
      <c r="H459" s="14" t="n"/>
    </row>
    <row r="460">
      <c r="H460" s="14" t="n"/>
    </row>
    <row r="461">
      <c r="H461" s="14" t="n"/>
    </row>
    <row r="462">
      <c r="H462" s="14" t="n"/>
    </row>
    <row r="463">
      <c r="H463" s="14" t="n"/>
    </row>
    <row r="464">
      <c r="H464" s="14" t="n"/>
    </row>
    <row r="465">
      <c r="H465" s="14" t="n"/>
    </row>
    <row r="466">
      <c r="H466" s="14" t="n"/>
    </row>
    <row r="467">
      <c r="H467" s="14" t="n"/>
    </row>
    <row r="468">
      <c r="H468" s="14" t="n"/>
    </row>
    <row r="469">
      <c r="H469" s="14" t="n"/>
    </row>
    <row r="470">
      <c r="H470" s="14" t="n"/>
    </row>
    <row r="471">
      <c r="H471" s="14" t="n"/>
    </row>
    <row r="472">
      <c r="H472" s="14" t="n"/>
    </row>
    <row r="473">
      <c r="H473" s="14" t="n"/>
    </row>
    <row r="474">
      <c r="H474" s="14" t="n"/>
    </row>
    <row r="475">
      <c r="H475" s="14" t="n"/>
    </row>
    <row r="476">
      <c r="H476" s="14" t="n"/>
    </row>
    <row r="477">
      <c r="H477" s="14" t="n"/>
    </row>
    <row r="478">
      <c r="H478" s="14" t="n"/>
    </row>
    <row r="479">
      <c r="H479" s="14" t="n"/>
    </row>
    <row r="480">
      <c r="H480" s="14" t="n"/>
    </row>
    <row r="481">
      <c r="H481" s="14" t="n"/>
    </row>
    <row r="482">
      <c r="H482" s="14" t="n"/>
    </row>
    <row r="483">
      <c r="H483" s="14" t="n"/>
    </row>
    <row r="484">
      <c r="H484" s="14" t="n"/>
    </row>
    <row r="485">
      <c r="H485" s="14" t="n"/>
    </row>
    <row r="486">
      <c r="H486" s="14" t="n"/>
    </row>
    <row r="487">
      <c r="H487" s="14" t="n"/>
    </row>
    <row r="488">
      <c r="H488" s="14" t="n"/>
    </row>
    <row r="489">
      <c r="H489" s="14" t="n"/>
    </row>
    <row r="490">
      <c r="H490" s="14" t="n"/>
    </row>
    <row r="491">
      <c r="H491" s="14" t="n"/>
    </row>
    <row r="492">
      <c r="H492" s="14" t="n"/>
    </row>
    <row r="493">
      <c r="H493" s="14" t="n"/>
    </row>
    <row r="494">
      <c r="H494" s="14" t="n"/>
    </row>
    <row r="495">
      <c r="H495" s="14" t="n"/>
    </row>
    <row r="496">
      <c r="H496" s="14" t="n"/>
    </row>
    <row r="497">
      <c r="H497" s="14" t="n"/>
    </row>
    <row r="498">
      <c r="H498" s="14" t="n"/>
    </row>
    <row r="499">
      <c r="H499" s="14" t="n"/>
    </row>
    <row r="500">
      <c r="H500" s="14" t="n"/>
    </row>
    <row r="501">
      <c r="H501" s="14" t="n"/>
    </row>
    <row r="502">
      <c r="H502" s="14" t="n"/>
    </row>
  </sheetData>
  <dataValidations count="4">
    <dataValidation sqref="E3:E502" showDropDown="0" showInputMessage="0" showErrorMessage="0" allowBlank="1" type="list">
      <formula1>"Y,N"</formula1>
    </dataValidation>
    <dataValidation sqref="F3:F502" showDropDown="0" showInputMessage="0" showErrorMessage="0" allowBlank="1" type="list">
      <formula1>"Y,N"</formula1>
    </dataValidation>
    <dataValidation sqref="G3:G502" showDropDown="0" showInputMessage="0" showErrorMessage="0" allowBlank="1" type="list">
      <formula1>"Y,N"</formula1>
    </dataValidation>
    <dataValidation sqref="I3:I502" showDropDown="0" showInputMessage="0" showErrorMessage="0" allowBlank="1" type="list">
      <formula1>"Go,Hold,Drop"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14" customWidth="1" min="9" max="9"/>
    <col width="16" customWidth="1" min="10" max="10"/>
    <col width="18" customWidth="1" min="11" max="11"/>
    <col width="18" customWidth="1" min="13" max="13"/>
    <col width="10" customWidth="1" min="14" max="14"/>
  </cols>
  <sheetData>
    <row r="1" ht="32" customHeight="1">
      <c r="A1" s="11" t="inlineStr">
        <is>
          <t>Load ID</t>
        </is>
      </c>
      <c r="B1" s="11" t="inlineStr">
        <is>
          <t>Purchase price ($)</t>
        </is>
      </c>
      <c r="C1" s="11" t="inlineStr">
        <is>
          <t>Freight ($)</t>
        </is>
      </c>
      <c r="D1" s="11" t="inlineStr">
        <is>
          <t>Handling / storage ($)</t>
        </is>
      </c>
      <c r="E1" s="11" t="inlineStr">
        <is>
          <t>Insurance / fees ($)</t>
        </is>
      </c>
      <c r="F1" s="15" t="inlineStr">
        <is>
          <t>All-in cost ($) calc</t>
        </is>
      </c>
      <c r="G1" s="11" t="inlineStr">
        <is>
          <t>Buyer price ($)</t>
        </is>
      </c>
      <c r="H1" s="15" t="inlineStr">
        <is>
          <t>Gross profit ($) calc</t>
        </is>
      </c>
      <c r="I1" s="15" t="inlineStr">
        <is>
          <t>Gross margin calc</t>
        </is>
      </c>
      <c r="J1" s="11" t="inlineStr">
        <is>
          <t>Days purchase to sale</t>
        </is>
      </c>
      <c r="K1" s="15" t="inlineStr">
        <is>
          <t>Meets 25% target? calc</t>
        </is>
      </c>
    </row>
    <row r="2">
      <c r="A2" s="12" t="inlineStr">
        <is>
          <t>L-001</t>
        </is>
      </c>
      <c r="B2" s="13" t="n">
        <v>4200</v>
      </c>
      <c r="C2" s="13" t="n">
        <v>600</v>
      </c>
      <c r="D2" s="13" t="n">
        <v>150</v>
      </c>
      <c r="E2" s="13" t="n">
        <v>50</v>
      </c>
      <c r="F2" s="13">
        <f>IF(A2="","",SUM(B2:E2))</f>
        <v/>
      </c>
      <c r="G2" s="13" t="n">
        <v>7200</v>
      </c>
      <c r="H2" s="13">
        <f>IF(OR(A2="",G2=""),"",G2-F2)</f>
        <v/>
      </c>
      <c r="I2" s="16">
        <f>IF(OR(A2="",G2="",G2=0),"",H2/G2)</f>
        <v/>
      </c>
      <c r="J2" s="12" t="n">
        <v>18</v>
      </c>
      <c r="K2" s="12">
        <f>IF(I2="","",IF(I2&gt;=$N$3,"Yes","No"))</f>
        <v/>
      </c>
      <c r="M2" s="17" t="inlineStr">
        <is>
          <t>Assumptions</t>
        </is>
      </c>
    </row>
    <row r="3">
      <c r="A3" s="18" t="n"/>
      <c r="B3" s="19" t="n"/>
      <c r="C3" s="19" t="n"/>
      <c r="D3" s="19" t="n"/>
      <c r="E3" s="19" t="n"/>
      <c r="F3" s="20">
        <f>IF(A3="","",SUM(B3:E3))</f>
        <v/>
      </c>
      <c r="G3" s="19" t="n"/>
      <c r="H3" s="20">
        <f>IF(OR(A3="",G3=""),"",G3-F3)</f>
        <v/>
      </c>
      <c r="I3" s="21">
        <f>IF(OR(A3="",G3="",G3=0),"",H3/G3)</f>
        <v/>
      </c>
      <c r="J3" s="18" t="n"/>
      <c r="K3" s="22">
        <f>IF(I3="","",IF(I3&gt;=$N$3,"Yes","No"))</f>
        <v/>
      </c>
      <c r="M3" s="6" t="inlineStr">
        <is>
          <t>Margin target</t>
        </is>
      </c>
      <c r="N3" s="23" t="n">
        <v>0.25</v>
      </c>
    </row>
    <row r="4">
      <c r="A4" s="18" t="n"/>
      <c r="B4" s="19" t="n"/>
      <c r="C4" s="19" t="n"/>
      <c r="D4" s="19" t="n"/>
      <c r="E4" s="19" t="n"/>
      <c r="F4" s="20">
        <f>IF(A4="","",SUM(B4:E4))</f>
        <v/>
      </c>
      <c r="G4" s="19" t="n"/>
      <c r="H4" s="20">
        <f>IF(OR(A4="",G4=""),"",G4-F4)</f>
        <v/>
      </c>
      <c r="I4" s="21">
        <f>IF(OR(A4="",G4="",G4=0),"",H4/G4)</f>
        <v/>
      </c>
      <c r="J4" s="18" t="n"/>
      <c r="K4" s="22">
        <f>IF(I4="","",IF(I4&gt;=$N$3,"Yes","No"))</f>
        <v/>
      </c>
      <c r="M4" s="6" t="inlineStr">
        <is>
          <t>Max days to sale</t>
        </is>
      </c>
      <c r="N4" s="24" t="n">
        <v>30</v>
      </c>
    </row>
    <row r="5">
      <c r="A5" s="18" t="n"/>
      <c r="B5" s="19" t="n"/>
      <c r="C5" s="19" t="n"/>
      <c r="D5" s="19" t="n"/>
      <c r="E5" s="19" t="n"/>
      <c r="F5" s="20">
        <f>IF(A5="","",SUM(B5:E5))</f>
        <v/>
      </c>
      <c r="G5" s="19" t="n"/>
      <c r="H5" s="20">
        <f>IF(OR(A5="",G5=""),"",G5-F5)</f>
        <v/>
      </c>
      <c r="I5" s="21">
        <f>IF(OR(A5="",G5="",G5=0),"",H5/G5)</f>
        <v/>
      </c>
      <c r="J5" s="18" t="n"/>
      <c r="K5" s="22">
        <f>IF(I5="","",IF(I5&gt;=$N$3,"Yes","No"))</f>
        <v/>
      </c>
      <c r="M5" s="10" t="inlineStr">
        <is>
          <t>Source: targets set by the advisor board in this session.</t>
        </is>
      </c>
    </row>
    <row r="6">
      <c r="A6" s="18" t="n"/>
      <c r="B6" s="19" t="n"/>
      <c r="C6" s="19" t="n"/>
      <c r="D6" s="19" t="n"/>
      <c r="E6" s="19" t="n"/>
      <c r="F6" s="20">
        <f>IF(A6="","",SUM(B6:E6))</f>
        <v/>
      </c>
      <c r="G6" s="19" t="n"/>
      <c r="H6" s="20">
        <f>IF(OR(A6="",G6=""),"",G6-F6)</f>
        <v/>
      </c>
      <c r="I6" s="21">
        <f>IF(OR(A6="",G6="",G6=0),"",H6/G6)</f>
        <v/>
      </c>
      <c r="J6" s="18" t="n"/>
      <c r="K6" s="22">
        <f>IF(I6="","",IF(I6&gt;=$N$3,"Yes","No"))</f>
        <v/>
      </c>
    </row>
    <row r="7">
      <c r="A7" s="18" t="n"/>
      <c r="B7" s="19" t="n"/>
      <c r="C7" s="19" t="n"/>
      <c r="D7" s="19" t="n"/>
      <c r="E7" s="19" t="n"/>
      <c r="F7" s="20">
        <f>IF(A7="","",SUM(B7:E7))</f>
        <v/>
      </c>
      <c r="G7" s="19" t="n"/>
      <c r="H7" s="20">
        <f>IF(OR(A7="",G7=""),"",G7-F7)</f>
        <v/>
      </c>
      <c r="I7" s="21">
        <f>IF(OR(A7="",G7="",G7=0),"",H7/G7)</f>
        <v/>
      </c>
      <c r="J7" s="18" t="n"/>
      <c r="K7" s="22">
        <f>IF(I7="","",IF(I7&gt;=$N$3,"Yes","No"))</f>
        <v/>
      </c>
    </row>
    <row r="8">
      <c r="A8" s="18" t="n"/>
      <c r="B8" s="19" t="n"/>
      <c r="C8" s="19" t="n"/>
      <c r="D8" s="19" t="n"/>
      <c r="E8" s="19" t="n"/>
      <c r="F8" s="20">
        <f>IF(A8="","",SUM(B8:E8))</f>
        <v/>
      </c>
      <c r="G8" s="19" t="n"/>
      <c r="H8" s="20">
        <f>IF(OR(A8="",G8=""),"",G8-F8)</f>
        <v/>
      </c>
      <c r="I8" s="21">
        <f>IF(OR(A8="",G8="",G8=0),"",H8/G8)</f>
        <v/>
      </c>
      <c r="J8" s="18" t="n"/>
      <c r="K8" s="22">
        <f>IF(I8="","",IF(I8&gt;=$N$3,"Yes","No"))</f>
        <v/>
      </c>
    </row>
    <row r="9">
      <c r="A9" s="18" t="n"/>
      <c r="B9" s="19" t="n"/>
      <c r="C9" s="19" t="n"/>
      <c r="D9" s="19" t="n"/>
      <c r="E9" s="19" t="n"/>
      <c r="F9" s="20">
        <f>IF(A9="","",SUM(B9:E9))</f>
        <v/>
      </c>
      <c r="G9" s="19" t="n"/>
      <c r="H9" s="20">
        <f>IF(OR(A9="",G9=""),"",G9-F9)</f>
        <v/>
      </c>
      <c r="I9" s="21">
        <f>IF(OR(A9="",G9="",G9=0),"",H9/G9)</f>
        <v/>
      </c>
      <c r="J9" s="18" t="n"/>
      <c r="K9" s="22">
        <f>IF(I9="","",IF(I9&gt;=$N$3,"Yes","No"))</f>
        <v/>
      </c>
    </row>
    <row r="10">
      <c r="A10" s="18" t="n"/>
      <c r="B10" s="19" t="n"/>
      <c r="C10" s="19" t="n"/>
      <c r="D10" s="19" t="n"/>
      <c r="E10" s="19" t="n"/>
      <c r="F10" s="20">
        <f>IF(A10="","",SUM(B10:E10))</f>
        <v/>
      </c>
      <c r="G10" s="19" t="n"/>
      <c r="H10" s="20">
        <f>IF(OR(A10="",G10=""),"",G10-F10)</f>
        <v/>
      </c>
      <c r="I10" s="21">
        <f>IF(OR(A10="",G10="",G10=0),"",H10/G10)</f>
        <v/>
      </c>
      <c r="J10" s="18" t="n"/>
      <c r="K10" s="22">
        <f>IF(I10="","",IF(I10&gt;=$N$3,"Yes","No"))</f>
        <v/>
      </c>
    </row>
    <row r="11">
      <c r="A11" s="18" t="n"/>
      <c r="B11" s="19" t="n"/>
      <c r="C11" s="19" t="n"/>
      <c r="D11" s="19" t="n"/>
      <c r="E11" s="19" t="n"/>
      <c r="F11" s="20">
        <f>IF(A11="","",SUM(B11:E11))</f>
        <v/>
      </c>
      <c r="G11" s="19" t="n"/>
      <c r="H11" s="20">
        <f>IF(OR(A11="",G11=""),"",G11-F11)</f>
        <v/>
      </c>
      <c r="I11" s="21">
        <f>IF(OR(A11="",G11="",G11=0),"",H11/G11)</f>
        <v/>
      </c>
      <c r="J11" s="18" t="n"/>
      <c r="K11" s="22">
        <f>IF(I11="","",IF(I11&gt;=$N$3,"Yes","No"))</f>
        <v/>
      </c>
    </row>
    <row r="12">
      <c r="A12" s="18" t="n"/>
      <c r="B12" s="19" t="n"/>
      <c r="C12" s="19" t="n"/>
      <c r="D12" s="19" t="n"/>
      <c r="E12" s="19" t="n"/>
      <c r="F12" s="20">
        <f>IF(A12="","",SUM(B12:E12))</f>
        <v/>
      </c>
      <c r="G12" s="19" t="n"/>
      <c r="H12" s="20">
        <f>IF(OR(A12="",G12=""),"",G12-F12)</f>
        <v/>
      </c>
      <c r="I12" s="21">
        <f>IF(OR(A12="",G12="",G12=0),"",H12/G12)</f>
        <v/>
      </c>
      <c r="J12" s="18" t="n"/>
      <c r="K12" s="22">
        <f>IF(I12="","",IF(I12&gt;=$N$3,"Yes","No"))</f>
        <v/>
      </c>
    </row>
    <row r="13">
      <c r="A13" s="18" t="n"/>
      <c r="B13" s="19" t="n"/>
      <c r="C13" s="19" t="n"/>
      <c r="D13" s="19" t="n"/>
      <c r="E13" s="19" t="n"/>
      <c r="F13" s="20">
        <f>IF(A13="","",SUM(B13:E13))</f>
        <v/>
      </c>
      <c r="G13" s="19" t="n"/>
      <c r="H13" s="20">
        <f>IF(OR(A13="",G13=""),"",G13-F13)</f>
        <v/>
      </c>
      <c r="I13" s="21">
        <f>IF(OR(A13="",G13="",G13=0),"",H13/G13)</f>
        <v/>
      </c>
      <c r="J13" s="18" t="n"/>
      <c r="K13" s="22">
        <f>IF(I13="","",IF(I13&gt;=$N$3,"Yes","No"))</f>
        <v/>
      </c>
    </row>
    <row r="14">
      <c r="A14" s="18" t="n"/>
      <c r="B14" s="19" t="n"/>
      <c r="C14" s="19" t="n"/>
      <c r="D14" s="19" t="n"/>
      <c r="E14" s="19" t="n"/>
      <c r="F14" s="20">
        <f>IF(A14="","",SUM(B14:E14))</f>
        <v/>
      </c>
      <c r="G14" s="19" t="n"/>
      <c r="H14" s="20">
        <f>IF(OR(A14="",G14=""),"",G14-F14)</f>
        <v/>
      </c>
      <c r="I14" s="21">
        <f>IF(OR(A14="",G14="",G14=0),"",H14/G14)</f>
        <v/>
      </c>
      <c r="J14" s="18" t="n"/>
      <c r="K14" s="22">
        <f>IF(I14="","",IF(I14&gt;=$N$3,"Yes","No"))</f>
        <v/>
      </c>
    </row>
    <row r="15">
      <c r="A15" s="18" t="n"/>
      <c r="B15" s="19" t="n"/>
      <c r="C15" s="19" t="n"/>
      <c r="D15" s="19" t="n"/>
      <c r="E15" s="19" t="n"/>
      <c r="F15" s="20">
        <f>IF(A15="","",SUM(B15:E15))</f>
        <v/>
      </c>
      <c r="G15" s="19" t="n"/>
      <c r="H15" s="20">
        <f>IF(OR(A15="",G15=""),"",G15-F15)</f>
        <v/>
      </c>
      <c r="I15" s="21">
        <f>IF(OR(A15="",G15="",G15=0),"",H15/G15)</f>
        <v/>
      </c>
      <c r="J15" s="18" t="n"/>
      <c r="K15" s="22">
        <f>IF(I15="","",IF(I15&gt;=$N$3,"Yes","No"))</f>
        <v/>
      </c>
    </row>
    <row r="16">
      <c r="A16" s="18" t="n"/>
      <c r="B16" s="19" t="n"/>
      <c r="C16" s="19" t="n"/>
      <c r="D16" s="19" t="n"/>
      <c r="E16" s="19" t="n"/>
      <c r="F16" s="20">
        <f>IF(A16="","",SUM(B16:E16))</f>
        <v/>
      </c>
      <c r="G16" s="19" t="n"/>
      <c r="H16" s="20">
        <f>IF(OR(A16="",G16=""),"",G16-F16)</f>
        <v/>
      </c>
      <c r="I16" s="21">
        <f>IF(OR(A16="",G16="",G16=0),"",H16/G16)</f>
        <v/>
      </c>
      <c r="J16" s="18" t="n"/>
      <c r="K16" s="22">
        <f>IF(I16="","",IF(I16&gt;=$N$3,"Yes","No"))</f>
        <v/>
      </c>
    </row>
    <row r="17">
      <c r="A17" s="18" t="n"/>
      <c r="B17" s="19" t="n"/>
      <c r="C17" s="19" t="n"/>
      <c r="D17" s="19" t="n"/>
      <c r="E17" s="19" t="n"/>
      <c r="F17" s="20">
        <f>IF(A17="","",SUM(B17:E17))</f>
        <v/>
      </c>
      <c r="G17" s="19" t="n"/>
      <c r="H17" s="20">
        <f>IF(OR(A17="",G17=""),"",G17-F17)</f>
        <v/>
      </c>
      <c r="I17" s="21">
        <f>IF(OR(A17="",G17="",G17=0),"",H17/G17)</f>
        <v/>
      </c>
      <c r="J17" s="18" t="n"/>
      <c r="K17" s="22">
        <f>IF(I17="","",IF(I17&gt;=$N$3,"Yes","No"))</f>
        <v/>
      </c>
    </row>
    <row r="18">
      <c r="A18" s="18" t="n"/>
      <c r="B18" s="19" t="n"/>
      <c r="C18" s="19" t="n"/>
      <c r="D18" s="19" t="n"/>
      <c r="E18" s="19" t="n"/>
      <c r="F18" s="20">
        <f>IF(A18="","",SUM(B18:E18))</f>
        <v/>
      </c>
      <c r="G18" s="19" t="n"/>
      <c r="H18" s="20">
        <f>IF(OR(A18="",G18=""),"",G18-F18)</f>
        <v/>
      </c>
      <c r="I18" s="21">
        <f>IF(OR(A18="",G18="",G18=0),"",H18/G18)</f>
        <v/>
      </c>
      <c r="J18" s="18" t="n"/>
      <c r="K18" s="22">
        <f>IF(I18="","",IF(I18&gt;=$N$3,"Yes","No"))</f>
        <v/>
      </c>
    </row>
    <row r="19">
      <c r="A19" s="18" t="n"/>
      <c r="B19" s="19" t="n"/>
      <c r="C19" s="19" t="n"/>
      <c r="D19" s="19" t="n"/>
      <c r="E19" s="19" t="n"/>
      <c r="F19" s="20">
        <f>IF(A19="","",SUM(B19:E19))</f>
        <v/>
      </c>
      <c r="G19" s="19" t="n"/>
      <c r="H19" s="20">
        <f>IF(OR(A19="",G19=""),"",G19-F19)</f>
        <v/>
      </c>
      <c r="I19" s="21">
        <f>IF(OR(A19="",G19="",G19=0),"",H19/G19)</f>
        <v/>
      </c>
      <c r="J19" s="18" t="n"/>
      <c r="K19" s="22">
        <f>IF(I19="","",IF(I19&gt;=$N$3,"Yes","No"))</f>
        <v/>
      </c>
    </row>
    <row r="20">
      <c r="A20" s="18" t="n"/>
      <c r="B20" s="19" t="n"/>
      <c r="C20" s="19" t="n"/>
      <c r="D20" s="19" t="n"/>
      <c r="E20" s="19" t="n"/>
      <c r="F20" s="20">
        <f>IF(A20="","",SUM(B20:E20))</f>
        <v/>
      </c>
      <c r="G20" s="19" t="n"/>
      <c r="H20" s="20">
        <f>IF(OR(A20="",G20=""),"",G20-F20)</f>
        <v/>
      </c>
      <c r="I20" s="21">
        <f>IF(OR(A20="",G20="",G20=0),"",H20/G20)</f>
        <v/>
      </c>
      <c r="J20" s="18" t="n"/>
      <c r="K20" s="22">
        <f>IF(I20="","",IF(I20&gt;=$N$3,"Yes","No"))</f>
        <v/>
      </c>
    </row>
    <row r="21">
      <c r="A21" s="18" t="n"/>
      <c r="B21" s="19" t="n"/>
      <c r="C21" s="19" t="n"/>
      <c r="D21" s="19" t="n"/>
      <c r="E21" s="19" t="n"/>
      <c r="F21" s="20">
        <f>IF(A21="","",SUM(B21:E21))</f>
        <v/>
      </c>
      <c r="G21" s="19" t="n"/>
      <c r="H21" s="20">
        <f>IF(OR(A21="",G21=""),"",G21-F21)</f>
        <v/>
      </c>
      <c r="I21" s="21">
        <f>IF(OR(A21="",G21="",G21=0),"",H21/G21)</f>
        <v/>
      </c>
      <c r="J21" s="18" t="n"/>
      <c r="K21" s="22">
        <f>IF(I21="","",IF(I21&gt;=$N$3,"Yes","No"))</f>
        <v/>
      </c>
    </row>
    <row r="22">
      <c r="A22" s="18" t="n"/>
      <c r="B22" s="19" t="n"/>
      <c r="C22" s="19" t="n"/>
      <c r="D22" s="19" t="n"/>
      <c r="E22" s="19" t="n"/>
      <c r="F22" s="20">
        <f>IF(A22="","",SUM(B22:E22))</f>
        <v/>
      </c>
      <c r="G22" s="19" t="n"/>
      <c r="H22" s="20">
        <f>IF(OR(A22="",G22=""),"",G22-F22)</f>
        <v/>
      </c>
      <c r="I22" s="21">
        <f>IF(OR(A22="",G22="",G22=0),"",H22/G22)</f>
        <v/>
      </c>
      <c r="J22" s="18" t="n"/>
      <c r="K22" s="22">
        <f>IF(I22="","",IF(I22&gt;=$N$3,"Yes","No"))</f>
        <v/>
      </c>
    </row>
    <row r="23">
      <c r="A23" s="18" t="n"/>
      <c r="B23" s="19" t="n"/>
      <c r="C23" s="19" t="n"/>
      <c r="D23" s="19" t="n"/>
      <c r="E23" s="19" t="n"/>
      <c r="F23" s="20">
        <f>IF(A23="","",SUM(B23:E23))</f>
        <v/>
      </c>
      <c r="G23" s="19" t="n"/>
      <c r="H23" s="20">
        <f>IF(OR(A23="",G23=""),"",G23-F23)</f>
        <v/>
      </c>
      <c r="I23" s="21">
        <f>IF(OR(A23="",G23="",G23=0),"",H23/G23)</f>
        <v/>
      </c>
      <c r="J23" s="18" t="n"/>
      <c r="K23" s="22">
        <f>IF(I23="","",IF(I23&gt;=$N$3,"Yes","No"))</f>
        <v/>
      </c>
    </row>
    <row r="24">
      <c r="A24" s="18" t="n"/>
      <c r="B24" s="19" t="n"/>
      <c r="C24" s="19" t="n"/>
      <c r="D24" s="19" t="n"/>
      <c r="E24" s="19" t="n"/>
      <c r="F24" s="20">
        <f>IF(A24="","",SUM(B24:E24))</f>
        <v/>
      </c>
      <c r="G24" s="19" t="n"/>
      <c r="H24" s="20">
        <f>IF(OR(A24="",G24=""),"",G24-F24)</f>
        <v/>
      </c>
      <c r="I24" s="21">
        <f>IF(OR(A24="",G24="",G24=0),"",H24/G24)</f>
        <v/>
      </c>
      <c r="J24" s="18" t="n"/>
      <c r="K24" s="22">
        <f>IF(I24="","",IF(I24&gt;=$N$3,"Yes","No"))</f>
        <v/>
      </c>
    </row>
    <row r="25">
      <c r="A25" s="18" t="n"/>
      <c r="B25" s="19" t="n"/>
      <c r="C25" s="19" t="n"/>
      <c r="D25" s="19" t="n"/>
      <c r="E25" s="19" t="n"/>
      <c r="F25" s="20">
        <f>IF(A25="","",SUM(B25:E25))</f>
        <v/>
      </c>
      <c r="G25" s="19" t="n"/>
      <c r="H25" s="20">
        <f>IF(OR(A25="",G25=""),"",G25-F25)</f>
        <v/>
      </c>
      <c r="I25" s="21">
        <f>IF(OR(A25="",G25="",G25=0),"",H25/G25)</f>
        <v/>
      </c>
      <c r="J25" s="18" t="n"/>
      <c r="K25" s="22">
        <f>IF(I25="","",IF(I25&gt;=$N$3,"Yes","No"))</f>
        <v/>
      </c>
    </row>
    <row r="26">
      <c r="A26" s="18" t="n"/>
      <c r="B26" s="19" t="n"/>
      <c r="C26" s="19" t="n"/>
      <c r="D26" s="19" t="n"/>
      <c r="E26" s="19" t="n"/>
      <c r="F26" s="20">
        <f>IF(A26="","",SUM(B26:E26))</f>
        <v/>
      </c>
      <c r="G26" s="19" t="n"/>
      <c r="H26" s="20">
        <f>IF(OR(A26="",G26=""),"",G26-F26)</f>
        <v/>
      </c>
      <c r="I26" s="21">
        <f>IF(OR(A26="",G26="",G26=0),"",H26/G26)</f>
        <v/>
      </c>
      <c r="J26" s="18" t="n"/>
      <c r="K26" s="22">
        <f>IF(I26="","",IF(I26&gt;=$N$3,"Yes","No"))</f>
        <v/>
      </c>
    </row>
    <row r="27">
      <c r="A27" s="18" t="n"/>
      <c r="B27" s="19" t="n"/>
      <c r="C27" s="19" t="n"/>
      <c r="D27" s="19" t="n"/>
      <c r="E27" s="19" t="n"/>
      <c r="F27" s="20">
        <f>IF(A27="","",SUM(B27:E27))</f>
        <v/>
      </c>
      <c r="G27" s="19" t="n"/>
      <c r="H27" s="20">
        <f>IF(OR(A27="",G27=""),"",G27-F27)</f>
        <v/>
      </c>
      <c r="I27" s="21">
        <f>IF(OR(A27="",G27="",G27=0),"",H27/G27)</f>
        <v/>
      </c>
      <c r="J27" s="18" t="n"/>
      <c r="K27" s="22">
        <f>IF(I27="","",IF(I27&gt;=$N$3,"Yes","No"))</f>
        <v/>
      </c>
    </row>
    <row r="28">
      <c r="A28" s="18" t="n"/>
      <c r="B28" s="19" t="n"/>
      <c r="C28" s="19" t="n"/>
      <c r="D28" s="19" t="n"/>
      <c r="E28" s="19" t="n"/>
      <c r="F28" s="20">
        <f>IF(A28="","",SUM(B28:E28))</f>
        <v/>
      </c>
      <c r="G28" s="19" t="n"/>
      <c r="H28" s="20">
        <f>IF(OR(A28="",G28=""),"",G28-F28)</f>
        <v/>
      </c>
      <c r="I28" s="21">
        <f>IF(OR(A28="",G28="",G28=0),"",H28/G28)</f>
        <v/>
      </c>
      <c r="J28" s="18" t="n"/>
      <c r="K28" s="22">
        <f>IF(I28="","",IF(I28&gt;=$N$3,"Yes","No"))</f>
        <v/>
      </c>
    </row>
    <row r="29">
      <c r="A29" s="18" t="n"/>
      <c r="B29" s="19" t="n"/>
      <c r="C29" s="19" t="n"/>
      <c r="D29" s="19" t="n"/>
      <c r="E29" s="19" t="n"/>
      <c r="F29" s="20">
        <f>IF(A29="","",SUM(B29:E29))</f>
        <v/>
      </c>
      <c r="G29" s="19" t="n"/>
      <c r="H29" s="20">
        <f>IF(OR(A29="",G29=""),"",G29-F29)</f>
        <v/>
      </c>
      <c r="I29" s="21">
        <f>IF(OR(A29="",G29="",G29=0),"",H29/G29)</f>
        <v/>
      </c>
      <c r="J29" s="18" t="n"/>
      <c r="K29" s="22">
        <f>IF(I29="","",IF(I29&gt;=$N$3,"Yes","No"))</f>
        <v/>
      </c>
    </row>
    <row r="30">
      <c r="A30" s="18" t="n"/>
      <c r="B30" s="19" t="n"/>
      <c r="C30" s="19" t="n"/>
      <c r="D30" s="19" t="n"/>
      <c r="E30" s="19" t="n"/>
      <c r="F30" s="20">
        <f>IF(A30="","",SUM(B30:E30))</f>
        <v/>
      </c>
      <c r="G30" s="19" t="n"/>
      <c r="H30" s="20">
        <f>IF(OR(A30="",G30=""),"",G30-F30)</f>
        <v/>
      </c>
      <c r="I30" s="21">
        <f>IF(OR(A30="",G30="",G30=0),"",H30/G30)</f>
        <v/>
      </c>
      <c r="J30" s="18" t="n"/>
      <c r="K30" s="22">
        <f>IF(I30="","",IF(I30&gt;=$N$3,"Yes","No"))</f>
        <v/>
      </c>
    </row>
    <row r="31">
      <c r="A31" s="18" t="n"/>
      <c r="B31" s="19" t="n"/>
      <c r="C31" s="19" t="n"/>
      <c r="D31" s="19" t="n"/>
      <c r="E31" s="19" t="n"/>
      <c r="F31" s="20">
        <f>IF(A31="","",SUM(B31:E31))</f>
        <v/>
      </c>
      <c r="G31" s="19" t="n"/>
      <c r="H31" s="20">
        <f>IF(OR(A31="",G31=""),"",G31-F31)</f>
        <v/>
      </c>
      <c r="I31" s="21">
        <f>IF(OR(A31="",G31="",G31=0),"",H31/G31)</f>
        <v/>
      </c>
      <c r="J31" s="18" t="n"/>
      <c r="K31" s="22">
        <f>IF(I31="","",IF(I31&gt;=$N$3,"Yes","No"))</f>
        <v/>
      </c>
    </row>
    <row r="32">
      <c r="A32" s="18" t="n"/>
      <c r="B32" s="19" t="n"/>
      <c r="C32" s="19" t="n"/>
      <c r="D32" s="19" t="n"/>
      <c r="E32" s="19" t="n"/>
      <c r="F32" s="20">
        <f>IF(A32="","",SUM(B32:E32))</f>
        <v/>
      </c>
      <c r="G32" s="19" t="n"/>
      <c r="H32" s="20">
        <f>IF(OR(A32="",G32=""),"",G32-F32)</f>
        <v/>
      </c>
      <c r="I32" s="21">
        <f>IF(OR(A32="",G32="",G32=0),"",H32/G32)</f>
        <v/>
      </c>
      <c r="J32" s="18" t="n"/>
      <c r="K32" s="22">
        <f>IF(I32="","",IF(I32&gt;=$N$3,"Yes","No"))</f>
        <v/>
      </c>
    </row>
    <row r="33">
      <c r="A33" s="18" t="n"/>
      <c r="B33" s="19" t="n"/>
      <c r="C33" s="19" t="n"/>
      <c r="D33" s="19" t="n"/>
      <c r="E33" s="19" t="n"/>
      <c r="F33" s="20">
        <f>IF(A33="","",SUM(B33:E33))</f>
        <v/>
      </c>
      <c r="G33" s="19" t="n"/>
      <c r="H33" s="20">
        <f>IF(OR(A33="",G33=""),"",G33-F33)</f>
        <v/>
      </c>
      <c r="I33" s="21">
        <f>IF(OR(A33="",G33="",G33=0),"",H33/G33)</f>
        <v/>
      </c>
      <c r="J33" s="18" t="n"/>
      <c r="K33" s="22">
        <f>IF(I33="","",IF(I33&gt;=$N$3,"Yes","No"))</f>
        <v/>
      </c>
    </row>
    <row r="34">
      <c r="A34" s="18" t="n"/>
      <c r="B34" s="19" t="n"/>
      <c r="C34" s="19" t="n"/>
      <c r="D34" s="19" t="n"/>
      <c r="E34" s="19" t="n"/>
      <c r="F34" s="20">
        <f>IF(A34="","",SUM(B34:E34))</f>
        <v/>
      </c>
      <c r="G34" s="19" t="n"/>
      <c r="H34" s="20">
        <f>IF(OR(A34="",G34=""),"",G34-F34)</f>
        <v/>
      </c>
      <c r="I34" s="21">
        <f>IF(OR(A34="",G34="",G34=0),"",H34/G34)</f>
        <v/>
      </c>
      <c r="J34" s="18" t="n"/>
      <c r="K34" s="22">
        <f>IF(I34="","",IF(I34&gt;=$N$3,"Yes","No"))</f>
        <v/>
      </c>
    </row>
    <row r="35">
      <c r="A35" s="18" t="n"/>
      <c r="B35" s="19" t="n"/>
      <c r="C35" s="19" t="n"/>
      <c r="D35" s="19" t="n"/>
      <c r="E35" s="19" t="n"/>
      <c r="F35" s="20">
        <f>IF(A35="","",SUM(B35:E35))</f>
        <v/>
      </c>
      <c r="G35" s="19" t="n"/>
      <c r="H35" s="20">
        <f>IF(OR(A35="",G35=""),"",G35-F35)</f>
        <v/>
      </c>
      <c r="I35" s="21">
        <f>IF(OR(A35="",G35="",G35=0),"",H35/G35)</f>
        <v/>
      </c>
      <c r="J35" s="18" t="n"/>
      <c r="K35" s="22">
        <f>IF(I35="","",IF(I35&gt;=$N$3,"Yes","No"))</f>
        <v/>
      </c>
    </row>
    <row r="36">
      <c r="A36" s="18" t="n"/>
      <c r="B36" s="19" t="n"/>
      <c r="C36" s="19" t="n"/>
      <c r="D36" s="19" t="n"/>
      <c r="E36" s="19" t="n"/>
      <c r="F36" s="20">
        <f>IF(A36="","",SUM(B36:E36))</f>
        <v/>
      </c>
      <c r="G36" s="19" t="n"/>
      <c r="H36" s="20">
        <f>IF(OR(A36="",G36=""),"",G36-F36)</f>
        <v/>
      </c>
      <c r="I36" s="21">
        <f>IF(OR(A36="",G36="",G36=0),"",H36/G36)</f>
        <v/>
      </c>
      <c r="J36" s="18" t="n"/>
      <c r="K36" s="22">
        <f>IF(I36="","",IF(I36&gt;=$N$3,"Yes","No"))</f>
        <v/>
      </c>
    </row>
    <row r="37">
      <c r="A37" s="18" t="n"/>
      <c r="B37" s="19" t="n"/>
      <c r="C37" s="19" t="n"/>
      <c r="D37" s="19" t="n"/>
      <c r="E37" s="19" t="n"/>
      <c r="F37" s="20">
        <f>IF(A37="","",SUM(B37:E37))</f>
        <v/>
      </c>
      <c r="G37" s="19" t="n"/>
      <c r="H37" s="20">
        <f>IF(OR(A37="",G37=""),"",G37-F37)</f>
        <v/>
      </c>
      <c r="I37" s="21">
        <f>IF(OR(A37="",G37="",G37=0),"",H37/G37)</f>
        <v/>
      </c>
      <c r="J37" s="18" t="n"/>
      <c r="K37" s="22">
        <f>IF(I37="","",IF(I37&gt;=$N$3,"Yes","No"))</f>
        <v/>
      </c>
    </row>
    <row r="38">
      <c r="A38" s="18" t="n"/>
      <c r="B38" s="19" t="n"/>
      <c r="C38" s="19" t="n"/>
      <c r="D38" s="19" t="n"/>
      <c r="E38" s="19" t="n"/>
      <c r="F38" s="20">
        <f>IF(A38="","",SUM(B38:E38))</f>
        <v/>
      </c>
      <c r="G38" s="19" t="n"/>
      <c r="H38" s="20">
        <f>IF(OR(A38="",G38=""),"",G38-F38)</f>
        <v/>
      </c>
      <c r="I38" s="21">
        <f>IF(OR(A38="",G38="",G38=0),"",H38/G38)</f>
        <v/>
      </c>
      <c r="J38" s="18" t="n"/>
      <c r="K38" s="22">
        <f>IF(I38="","",IF(I38&gt;=$N$3,"Yes","No"))</f>
        <v/>
      </c>
    </row>
    <row r="39">
      <c r="A39" s="18" t="n"/>
      <c r="B39" s="19" t="n"/>
      <c r="C39" s="19" t="n"/>
      <c r="D39" s="19" t="n"/>
      <c r="E39" s="19" t="n"/>
      <c r="F39" s="20">
        <f>IF(A39="","",SUM(B39:E39))</f>
        <v/>
      </c>
      <c r="G39" s="19" t="n"/>
      <c r="H39" s="20">
        <f>IF(OR(A39="",G39=""),"",G39-F39)</f>
        <v/>
      </c>
      <c r="I39" s="21">
        <f>IF(OR(A39="",G39="",G39=0),"",H39/G39)</f>
        <v/>
      </c>
      <c r="J39" s="18" t="n"/>
      <c r="K39" s="22">
        <f>IF(I39="","",IF(I39&gt;=$N$3,"Yes","No"))</f>
        <v/>
      </c>
    </row>
    <row r="40">
      <c r="A40" s="18" t="n"/>
      <c r="B40" s="19" t="n"/>
      <c r="C40" s="19" t="n"/>
      <c r="D40" s="19" t="n"/>
      <c r="E40" s="19" t="n"/>
      <c r="F40" s="20">
        <f>IF(A40="","",SUM(B40:E40))</f>
        <v/>
      </c>
      <c r="G40" s="19" t="n"/>
      <c r="H40" s="20">
        <f>IF(OR(A40="",G40=""),"",G40-F40)</f>
        <v/>
      </c>
      <c r="I40" s="21">
        <f>IF(OR(A40="",G40="",G40=0),"",H40/G40)</f>
        <v/>
      </c>
      <c r="J40" s="18" t="n"/>
      <c r="K40" s="22">
        <f>IF(I40="","",IF(I40&gt;=$N$3,"Yes","No"))</f>
        <v/>
      </c>
    </row>
    <row r="41">
      <c r="A41" s="18" t="n"/>
      <c r="B41" s="19" t="n"/>
      <c r="C41" s="19" t="n"/>
      <c r="D41" s="19" t="n"/>
      <c r="E41" s="19" t="n"/>
      <c r="F41" s="20">
        <f>IF(A41="","",SUM(B41:E41))</f>
        <v/>
      </c>
      <c r="G41" s="19" t="n"/>
      <c r="H41" s="20">
        <f>IF(OR(A41="",G41=""),"",G41-F41)</f>
        <v/>
      </c>
      <c r="I41" s="21">
        <f>IF(OR(A41="",G41="",G41=0),"",H41/G41)</f>
        <v/>
      </c>
      <c r="J41" s="18" t="n"/>
      <c r="K41" s="22">
        <f>IF(I41="","",IF(I41&gt;=$N$3,"Yes","No"))</f>
        <v/>
      </c>
    </row>
    <row r="42">
      <c r="A42" s="18" t="n"/>
      <c r="B42" s="19" t="n"/>
      <c r="C42" s="19" t="n"/>
      <c r="D42" s="19" t="n"/>
      <c r="E42" s="19" t="n"/>
      <c r="F42" s="20">
        <f>IF(A42="","",SUM(B42:E42))</f>
        <v/>
      </c>
      <c r="G42" s="19" t="n"/>
      <c r="H42" s="20">
        <f>IF(OR(A42="",G42=""),"",G42-F42)</f>
        <v/>
      </c>
      <c r="I42" s="21">
        <f>IF(OR(A42="",G42="",G42=0),"",H42/G42)</f>
        <v/>
      </c>
      <c r="J42" s="18" t="n"/>
      <c r="K42" s="22">
        <f>IF(I42="","",IF(I42&gt;=$N$3,"Yes","No"))</f>
        <v/>
      </c>
    </row>
    <row r="43">
      <c r="A43" s="18" t="n"/>
      <c r="B43" s="19" t="n"/>
      <c r="C43" s="19" t="n"/>
      <c r="D43" s="19" t="n"/>
      <c r="E43" s="19" t="n"/>
      <c r="F43" s="20">
        <f>IF(A43="","",SUM(B43:E43))</f>
        <v/>
      </c>
      <c r="G43" s="19" t="n"/>
      <c r="H43" s="20">
        <f>IF(OR(A43="",G43=""),"",G43-F43)</f>
        <v/>
      </c>
      <c r="I43" s="21">
        <f>IF(OR(A43="",G43="",G43=0),"",H43/G43)</f>
        <v/>
      </c>
      <c r="J43" s="18" t="n"/>
      <c r="K43" s="22">
        <f>IF(I43="","",IF(I43&gt;=$N$3,"Yes","No"))</f>
        <v/>
      </c>
    </row>
    <row r="44">
      <c r="A44" s="18" t="n"/>
      <c r="B44" s="19" t="n"/>
      <c r="C44" s="19" t="n"/>
      <c r="D44" s="19" t="n"/>
      <c r="E44" s="19" t="n"/>
      <c r="F44" s="20">
        <f>IF(A44="","",SUM(B44:E44))</f>
        <v/>
      </c>
      <c r="G44" s="19" t="n"/>
      <c r="H44" s="20">
        <f>IF(OR(A44="",G44=""),"",G44-F44)</f>
        <v/>
      </c>
      <c r="I44" s="21">
        <f>IF(OR(A44="",G44="",G44=0),"",H44/G44)</f>
        <v/>
      </c>
      <c r="J44" s="18" t="n"/>
      <c r="K44" s="22">
        <f>IF(I44="","",IF(I44&gt;=$N$3,"Yes","No"))</f>
        <v/>
      </c>
    </row>
    <row r="45">
      <c r="A45" s="18" t="n"/>
      <c r="B45" s="19" t="n"/>
      <c r="C45" s="19" t="n"/>
      <c r="D45" s="19" t="n"/>
      <c r="E45" s="19" t="n"/>
      <c r="F45" s="20">
        <f>IF(A45="","",SUM(B45:E45))</f>
        <v/>
      </c>
      <c r="G45" s="19" t="n"/>
      <c r="H45" s="20">
        <f>IF(OR(A45="",G45=""),"",G45-F45)</f>
        <v/>
      </c>
      <c r="I45" s="21">
        <f>IF(OR(A45="",G45="",G45=0),"",H45/G45)</f>
        <v/>
      </c>
      <c r="J45" s="18" t="n"/>
      <c r="K45" s="22">
        <f>IF(I45="","",IF(I45&gt;=$N$3,"Yes","No"))</f>
        <v/>
      </c>
    </row>
    <row r="46">
      <c r="A46" s="18" t="n"/>
      <c r="B46" s="19" t="n"/>
      <c r="C46" s="19" t="n"/>
      <c r="D46" s="19" t="n"/>
      <c r="E46" s="19" t="n"/>
      <c r="F46" s="20">
        <f>IF(A46="","",SUM(B46:E46))</f>
        <v/>
      </c>
      <c r="G46" s="19" t="n"/>
      <c r="H46" s="20">
        <f>IF(OR(A46="",G46=""),"",G46-F46)</f>
        <v/>
      </c>
      <c r="I46" s="21">
        <f>IF(OR(A46="",G46="",G46=0),"",H46/G46)</f>
        <v/>
      </c>
      <c r="J46" s="18" t="n"/>
      <c r="K46" s="22">
        <f>IF(I46="","",IF(I46&gt;=$N$3,"Yes","No"))</f>
        <v/>
      </c>
    </row>
    <row r="47">
      <c r="A47" s="18" t="n"/>
      <c r="B47" s="19" t="n"/>
      <c r="C47" s="19" t="n"/>
      <c r="D47" s="19" t="n"/>
      <c r="E47" s="19" t="n"/>
      <c r="F47" s="20">
        <f>IF(A47="","",SUM(B47:E47))</f>
        <v/>
      </c>
      <c r="G47" s="19" t="n"/>
      <c r="H47" s="20">
        <f>IF(OR(A47="",G47=""),"",G47-F47)</f>
        <v/>
      </c>
      <c r="I47" s="21">
        <f>IF(OR(A47="",G47="",G47=0),"",H47/G47)</f>
        <v/>
      </c>
      <c r="J47" s="18" t="n"/>
      <c r="K47" s="22">
        <f>IF(I47="","",IF(I47&gt;=$N$3,"Yes","No"))</f>
        <v/>
      </c>
    </row>
    <row r="48">
      <c r="A48" s="18" t="n"/>
      <c r="B48" s="19" t="n"/>
      <c r="C48" s="19" t="n"/>
      <c r="D48" s="19" t="n"/>
      <c r="E48" s="19" t="n"/>
      <c r="F48" s="20">
        <f>IF(A48="","",SUM(B48:E48))</f>
        <v/>
      </c>
      <c r="G48" s="19" t="n"/>
      <c r="H48" s="20">
        <f>IF(OR(A48="",G48=""),"",G48-F48)</f>
        <v/>
      </c>
      <c r="I48" s="21">
        <f>IF(OR(A48="",G48="",G48=0),"",H48/G48)</f>
        <v/>
      </c>
      <c r="J48" s="18" t="n"/>
      <c r="K48" s="22">
        <f>IF(I48="","",IF(I48&gt;=$N$3,"Yes","No"))</f>
        <v/>
      </c>
    </row>
    <row r="49">
      <c r="A49" s="18" t="n"/>
      <c r="B49" s="19" t="n"/>
      <c r="C49" s="19" t="n"/>
      <c r="D49" s="19" t="n"/>
      <c r="E49" s="19" t="n"/>
      <c r="F49" s="20">
        <f>IF(A49="","",SUM(B49:E49))</f>
        <v/>
      </c>
      <c r="G49" s="19" t="n"/>
      <c r="H49" s="20">
        <f>IF(OR(A49="",G49=""),"",G49-F49)</f>
        <v/>
      </c>
      <c r="I49" s="21">
        <f>IF(OR(A49="",G49="",G49=0),"",H49/G49)</f>
        <v/>
      </c>
      <c r="J49" s="18" t="n"/>
      <c r="K49" s="22">
        <f>IF(I49="","",IF(I49&gt;=$N$3,"Yes","No"))</f>
        <v/>
      </c>
    </row>
    <row r="50">
      <c r="A50" s="18" t="n"/>
      <c r="B50" s="19" t="n"/>
      <c r="C50" s="19" t="n"/>
      <c r="D50" s="19" t="n"/>
      <c r="E50" s="19" t="n"/>
      <c r="F50" s="20">
        <f>IF(A50="","",SUM(B50:E50))</f>
        <v/>
      </c>
      <c r="G50" s="19" t="n"/>
      <c r="H50" s="20">
        <f>IF(OR(A50="",G50=""),"",G50-F50)</f>
        <v/>
      </c>
      <c r="I50" s="21">
        <f>IF(OR(A50="",G50="",G50=0),"",H50/G50)</f>
        <v/>
      </c>
      <c r="J50" s="18" t="n"/>
      <c r="K50" s="22">
        <f>IF(I50="","",IF(I50&gt;=$N$3,"Yes","No"))</f>
        <v/>
      </c>
    </row>
    <row r="51">
      <c r="A51" s="18" t="n"/>
      <c r="B51" s="19" t="n"/>
      <c r="C51" s="19" t="n"/>
      <c r="D51" s="19" t="n"/>
      <c r="E51" s="19" t="n"/>
      <c r="F51" s="20">
        <f>IF(A51="","",SUM(B51:E51))</f>
        <v/>
      </c>
      <c r="G51" s="19" t="n"/>
      <c r="H51" s="20">
        <f>IF(OR(A51="",G51=""),"",G51-F51)</f>
        <v/>
      </c>
      <c r="I51" s="21">
        <f>IF(OR(A51="",G51="",G51=0),"",H51/G51)</f>
        <v/>
      </c>
      <c r="J51" s="18" t="n"/>
      <c r="K51" s="22">
        <f>IF(I51="","",IF(I51&gt;=$N$3,"Yes","No"))</f>
        <v/>
      </c>
    </row>
    <row r="52">
      <c r="A52" s="18" t="n"/>
      <c r="B52" s="19" t="n"/>
      <c r="C52" s="19" t="n"/>
      <c r="D52" s="19" t="n"/>
      <c r="E52" s="19" t="n"/>
      <c r="F52" s="20">
        <f>IF(A52="","",SUM(B52:E52))</f>
        <v/>
      </c>
      <c r="G52" s="19" t="n"/>
      <c r="H52" s="20">
        <f>IF(OR(A52="",G52=""),"",G52-F52)</f>
        <v/>
      </c>
      <c r="I52" s="21">
        <f>IF(OR(A52="",G52="",G52=0),"",H52/G52)</f>
        <v/>
      </c>
      <c r="J52" s="18" t="n"/>
      <c r="K52" s="22">
        <f>IF(I52="","",IF(I52&gt;=$N$3,"Yes","No"))</f>
        <v/>
      </c>
    </row>
    <row r="53">
      <c r="A53" s="18" t="n"/>
      <c r="B53" s="19" t="n"/>
      <c r="C53" s="19" t="n"/>
      <c r="D53" s="19" t="n"/>
      <c r="E53" s="19" t="n"/>
      <c r="F53" s="20">
        <f>IF(A53="","",SUM(B53:E53))</f>
        <v/>
      </c>
      <c r="G53" s="19" t="n"/>
      <c r="H53" s="20">
        <f>IF(OR(A53="",G53=""),"",G53-F53)</f>
        <v/>
      </c>
      <c r="I53" s="21">
        <f>IF(OR(A53="",G53="",G53=0),"",H53/G53)</f>
        <v/>
      </c>
      <c r="J53" s="18" t="n"/>
      <c r="K53" s="22">
        <f>IF(I53="","",IF(I53&gt;=$N$3,"Yes","No"))</f>
        <v/>
      </c>
    </row>
    <row r="54">
      <c r="A54" s="18" t="n"/>
      <c r="B54" s="19" t="n"/>
      <c r="C54" s="19" t="n"/>
      <c r="D54" s="19" t="n"/>
      <c r="E54" s="19" t="n"/>
      <c r="F54" s="20">
        <f>IF(A54="","",SUM(B54:E54))</f>
        <v/>
      </c>
      <c r="G54" s="19" t="n"/>
      <c r="H54" s="20">
        <f>IF(OR(A54="",G54=""),"",G54-F54)</f>
        <v/>
      </c>
      <c r="I54" s="21">
        <f>IF(OR(A54="",G54="",G54=0),"",H54/G54)</f>
        <v/>
      </c>
      <c r="J54" s="18" t="n"/>
      <c r="K54" s="22">
        <f>IF(I54="","",IF(I54&gt;=$N$3,"Yes","No"))</f>
        <v/>
      </c>
    </row>
    <row r="55">
      <c r="A55" s="18" t="n"/>
      <c r="B55" s="19" t="n"/>
      <c r="C55" s="19" t="n"/>
      <c r="D55" s="19" t="n"/>
      <c r="E55" s="19" t="n"/>
      <c r="F55" s="20">
        <f>IF(A55="","",SUM(B55:E55))</f>
        <v/>
      </c>
      <c r="G55" s="19" t="n"/>
      <c r="H55" s="20">
        <f>IF(OR(A55="",G55=""),"",G55-F55)</f>
        <v/>
      </c>
      <c r="I55" s="21">
        <f>IF(OR(A55="",G55="",G55=0),"",H55/G55)</f>
        <v/>
      </c>
      <c r="J55" s="18" t="n"/>
      <c r="K55" s="22">
        <f>IF(I55="","",IF(I55&gt;=$N$3,"Yes","No"))</f>
        <v/>
      </c>
    </row>
    <row r="56">
      <c r="A56" s="18" t="n"/>
      <c r="B56" s="19" t="n"/>
      <c r="C56" s="19" t="n"/>
      <c r="D56" s="19" t="n"/>
      <c r="E56" s="19" t="n"/>
      <c r="F56" s="20">
        <f>IF(A56="","",SUM(B56:E56))</f>
        <v/>
      </c>
      <c r="G56" s="19" t="n"/>
      <c r="H56" s="20">
        <f>IF(OR(A56="",G56=""),"",G56-F56)</f>
        <v/>
      </c>
      <c r="I56" s="21">
        <f>IF(OR(A56="",G56="",G56=0),"",H56/G56)</f>
        <v/>
      </c>
      <c r="J56" s="18" t="n"/>
      <c r="K56" s="22">
        <f>IF(I56="","",IF(I56&gt;=$N$3,"Yes","No"))</f>
        <v/>
      </c>
    </row>
    <row r="57">
      <c r="A57" s="18" t="n"/>
      <c r="B57" s="19" t="n"/>
      <c r="C57" s="19" t="n"/>
      <c r="D57" s="19" t="n"/>
      <c r="E57" s="19" t="n"/>
      <c r="F57" s="20">
        <f>IF(A57="","",SUM(B57:E57))</f>
        <v/>
      </c>
      <c r="G57" s="19" t="n"/>
      <c r="H57" s="20">
        <f>IF(OR(A57="",G57=""),"",G57-F57)</f>
        <v/>
      </c>
      <c r="I57" s="21">
        <f>IF(OR(A57="",G57="",G57=0),"",H57/G57)</f>
        <v/>
      </c>
      <c r="J57" s="18" t="n"/>
      <c r="K57" s="22">
        <f>IF(I57="","",IF(I57&gt;=$N$3,"Yes","No"))</f>
        <v/>
      </c>
    </row>
    <row r="58">
      <c r="A58" s="18" t="n"/>
      <c r="B58" s="19" t="n"/>
      <c r="C58" s="19" t="n"/>
      <c r="D58" s="19" t="n"/>
      <c r="E58" s="19" t="n"/>
      <c r="F58" s="20">
        <f>IF(A58="","",SUM(B58:E58))</f>
        <v/>
      </c>
      <c r="G58" s="19" t="n"/>
      <c r="H58" s="20">
        <f>IF(OR(A58="",G58=""),"",G58-F58)</f>
        <v/>
      </c>
      <c r="I58" s="21">
        <f>IF(OR(A58="",G58="",G58=0),"",H58/G58)</f>
        <v/>
      </c>
      <c r="J58" s="18" t="n"/>
      <c r="K58" s="22">
        <f>IF(I58="","",IF(I58&gt;=$N$3,"Yes","No"))</f>
        <v/>
      </c>
    </row>
    <row r="59">
      <c r="A59" s="18" t="n"/>
      <c r="B59" s="19" t="n"/>
      <c r="C59" s="19" t="n"/>
      <c r="D59" s="19" t="n"/>
      <c r="E59" s="19" t="n"/>
      <c r="F59" s="20">
        <f>IF(A59="","",SUM(B59:E59))</f>
        <v/>
      </c>
      <c r="G59" s="19" t="n"/>
      <c r="H59" s="20">
        <f>IF(OR(A59="",G59=""),"",G59-F59)</f>
        <v/>
      </c>
      <c r="I59" s="21">
        <f>IF(OR(A59="",G59="",G59=0),"",H59/G59)</f>
        <v/>
      </c>
      <c r="J59" s="18" t="n"/>
      <c r="K59" s="22">
        <f>IF(I59="","",IF(I59&gt;=$N$3,"Yes","No"))</f>
        <v/>
      </c>
    </row>
    <row r="60">
      <c r="A60" s="18" t="n"/>
      <c r="B60" s="19" t="n"/>
      <c r="C60" s="19" t="n"/>
      <c r="D60" s="19" t="n"/>
      <c r="E60" s="19" t="n"/>
      <c r="F60" s="20">
        <f>IF(A60="","",SUM(B60:E60))</f>
        <v/>
      </c>
      <c r="G60" s="19" t="n"/>
      <c r="H60" s="20">
        <f>IF(OR(A60="",G60=""),"",G60-F60)</f>
        <v/>
      </c>
      <c r="I60" s="21">
        <f>IF(OR(A60="",G60="",G60=0),"",H60/G60)</f>
        <v/>
      </c>
      <c r="J60" s="18" t="n"/>
      <c r="K60" s="22">
        <f>IF(I60="","",IF(I60&gt;=$N$3,"Yes","No"))</f>
        <v/>
      </c>
    </row>
    <row r="61">
      <c r="A61" s="18" t="n"/>
      <c r="B61" s="19" t="n"/>
      <c r="C61" s="19" t="n"/>
      <c r="D61" s="19" t="n"/>
      <c r="E61" s="19" t="n"/>
      <c r="F61" s="20">
        <f>IF(A61="","",SUM(B61:E61))</f>
        <v/>
      </c>
      <c r="G61" s="19" t="n"/>
      <c r="H61" s="20">
        <f>IF(OR(A61="",G61=""),"",G61-F61)</f>
        <v/>
      </c>
      <c r="I61" s="21">
        <f>IF(OR(A61="",G61="",G61=0),"",H61/G61)</f>
        <v/>
      </c>
      <c r="J61" s="18" t="n"/>
      <c r="K61" s="22">
        <f>IF(I61="","",IF(I61&gt;=$N$3,"Yes","No"))</f>
        <v/>
      </c>
    </row>
    <row r="62">
      <c r="A62" s="18" t="n"/>
      <c r="B62" s="19" t="n"/>
      <c r="C62" s="19" t="n"/>
      <c r="D62" s="19" t="n"/>
      <c r="E62" s="19" t="n"/>
      <c r="F62" s="20">
        <f>IF(A62="","",SUM(B62:E62))</f>
        <v/>
      </c>
      <c r="G62" s="19" t="n"/>
      <c r="H62" s="20">
        <f>IF(OR(A62="",G62=""),"",G62-F62)</f>
        <v/>
      </c>
      <c r="I62" s="21">
        <f>IF(OR(A62="",G62="",G62=0),"",H62/G62)</f>
        <v/>
      </c>
      <c r="J62" s="18" t="n"/>
      <c r="K62" s="22">
        <f>IF(I62="","",IF(I62&gt;=$N$3,"Yes","No"))</f>
        <v/>
      </c>
    </row>
    <row r="63">
      <c r="A63" s="18" t="n"/>
      <c r="B63" s="19" t="n"/>
      <c r="C63" s="19" t="n"/>
      <c r="D63" s="19" t="n"/>
      <c r="E63" s="19" t="n"/>
      <c r="F63" s="20">
        <f>IF(A63="","",SUM(B63:E63))</f>
        <v/>
      </c>
      <c r="G63" s="19" t="n"/>
      <c r="H63" s="20">
        <f>IF(OR(A63="",G63=""),"",G63-F63)</f>
        <v/>
      </c>
      <c r="I63" s="21">
        <f>IF(OR(A63="",G63="",G63=0),"",H63/G63)</f>
        <v/>
      </c>
      <c r="J63" s="18" t="n"/>
      <c r="K63" s="22">
        <f>IF(I63="","",IF(I63&gt;=$N$3,"Yes","No"))</f>
        <v/>
      </c>
    </row>
    <row r="64">
      <c r="A64" s="18" t="n"/>
      <c r="B64" s="19" t="n"/>
      <c r="C64" s="19" t="n"/>
      <c r="D64" s="19" t="n"/>
      <c r="E64" s="19" t="n"/>
      <c r="F64" s="20">
        <f>IF(A64="","",SUM(B64:E64))</f>
        <v/>
      </c>
      <c r="G64" s="19" t="n"/>
      <c r="H64" s="20">
        <f>IF(OR(A64="",G64=""),"",G64-F64)</f>
        <v/>
      </c>
      <c r="I64" s="21">
        <f>IF(OR(A64="",G64="",G64=0),"",H64/G64)</f>
        <v/>
      </c>
      <c r="J64" s="18" t="n"/>
      <c r="K64" s="22">
        <f>IF(I64="","",IF(I64&gt;=$N$3,"Yes","No"))</f>
        <v/>
      </c>
    </row>
    <row r="65">
      <c r="A65" s="18" t="n"/>
      <c r="B65" s="19" t="n"/>
      <c r="C65" s="19" t="n"/>
      <c r="D65" s="19" t="n"/>
      <c r="E65" s="19" t="n"/>
      <c r="F65" s="20">
        <f>IF(A65="","",SUM(B65:E65))</f>
        <v/>
      </c>
      <c r="G65" s="19" t="n"/>
      <c r="H65" s="20">
        <f>IF(OR(A65="",G65=""),"",G65-F65)</f>
        <v/>
      </c>
      <c r="I65" s="21">
        <f>IF(OR(A65="",G65="",G65=0),"",H65/G65)</f>
        <v/>
      </c>
      <c r="J65" s="18" t="n"/>
      <c r="K65" s="22">
        <f>IF(I65="","",IF(I65&gt;=$N$3,"Yes","No"))</f>
        <v/>
      </c>
    </row>
    <row r="66">
      <c r="A66" s="18" t="n"/>
      <c r="B66" s="19" t="n"/>
      <c r="C66" s="19" t="n"/>
      <c r="D66" s="19" t="n"/>
      <c r="E66" s="19" t="n"/>
      <c r="F66" s="20">
        <f>IF(A66="","",SUM(B66:E66))</f>
        <v/>
      </c>
      <c r="G66" s="19" t="n"/>
      <c r="H66" s="20">
        <f>IF(OR(A66="",G66=""),"",G66-F66)</f>
        <v/>
      </c>
      <c r="I66" s="21">
        <f>IF(OR(A66="",G66="",G66=0),"",H66/G66)</f>
        <v/>
      </c>
      <c r="J66" s="18" t="n"/>
      <c r="K66" s="22">
        <f>IF(I66="","",IF(I66&gt;=$N$3,"Yes","No"))</f>
        <v/>
      </c>
    </row>
    <row r="67">
      <c r="A67" s="18" t="n"/>
      <c r="B67" s="19" t="n"/>
      <c r="C67" s="19" t="n"/>
      <c r="D67" s="19" t="n"/>
      <c r="E67" s="19" t="n"/>
      <c r="F67" s="20">
        <f>IF(A67="","",SUM(B67:E67))</f>
        <v/>
      </c>
      <c r="G67" s="19" t="n"/>
      <c r="H67" s="20">
        <f>IF(OR(A67="",G67=""),"",G67-F67)</f>
        <v/>
      </c>
      <c r="I67" s="21">
        <f>IF(OR(A67="",G67="",G67=0),"",H67/G67)</f>
        <v/>
      </c>
      <c r="J67" s="18" t="n"/>
      <c r="K67" s="22">
        <f>IF(I67="","",IF(I67&gt;=$N$3,"Yes","No"))</f>
        <v/>
      </c>
    </row>
    <row r="68">
      <c r="A68" s="18" t="n"/>
      <c r="B68" s="19" t="n"/>
      <c r="C68" s="19" t="n"/>
      <c r="D68" s="19" t="n"/>
      <c r="E68" s="19" t="n"/>
      <c r="F68" s="20">
        <f>IF(A68="","",SUM(B68:E68))</f>
        <v/>
      </c>
      <c r="G68" s="19" t="n"/>
      <c r="H68" s="20">
        <f>IF(OR(A68="",G68=""),"",G68-F68)</f>
        <v/>
      </c>
      <c r="I68" s="21">
        <f>IF(OR(A68="",G68="",G68=0),"",H68/G68)</f>
        <v/>
      </c>
      <c r="J68" s="18" t="n"/>
      <c r="K68" s="22">
        <f>IF(I68="","",IF(I68&gt;=$N$3,"Yes","No"))</f>
        <v/>
      </c>
    </row>
    <row r="69">
      <c r="A69" s="18" t="n"/>
      <c r="B69" s="19" t="n"/>
      <c r="C69" s="19" t="n"/>
      <c r="D69" s="19" t="n"/>
      <c r="E69" s="19" t="n"/>
      <c r="F69" s="20">
        <f>IF(A69="","",SUM(B69:E69))</f>
        <v/>
      </c>
      <c r="G69" s="19" t="n"/>
      <c r="H69" s="20">
        <f>IF(OR(A69="",G69=""),"",G69-F69)</f>
        <v/>
      </c>
      <c r="I69" s="21">
        <f>IF(OR(A69="",G69="",G69=0),"",H69/G69)</f>
        <v/>
      </c>
      <c r="J69" s="18" t="n"/>
      <c r="K69" s="22">
        <f>IF(I69="","",IF(I69&gt;=$N$3,"Yes","No"))</f>
        <v/>
      </c>
    </row>
    <row r="70">
      <c r="A70" s="18" t="n"/>
      <c r="B70" s="19" t="n"/>
      <c r="C70" s="19" t="n"/>
      <c r="D70" s="19" t="n"/>
      <c r="E70" s="19" t="n"/>
      <c r="F70" s="20">
        <f>IF(A70="","",SUM(B70:E70))</f>
        <v/>
      </c>
      <c r="G70" s="19" t="n"/>
      <c r="H70" s="20">
        <f>IF(OR(A70="",G70=""),"",G70-F70)</f>
        <v/>
      </c>
      <c r="I70" s="21">
        <f>IF(OR(A70="",G70="",G70=0),"",H70/G70)</f>
        <v/>
      </c>
      <c r="J70" s="18" t="n"/>
      <c r="K70" s="22">
        <f>IF(I70="","",IF(I70&gt;=$N$3,"Yes","No"))</f>
        <v/>
      </c>
    </row>
    <row r="71">
      <c r="A71" s="18" t="n"/>
      <c r="B71" s="19" t="n"/>
      <c r="C71" s="19" t="n"/>
      <c r="D71" s="19" t="n"/>
      <c r="E71" s="19" t="n"/>
      <c r="F71" s="20">
        <f>IF(A71="","",SUM(B71:E71))</f>
        <v/>
      </c>
      <c r="G71" s="19" t="n"/>
      <c r="H71" s="20">
        <f>IF(OR(A71="",G71=""),"",G71-F71)</f>
        <v/>
      </c>
      <c r="I71" s="21">
        <f>IF(OR(A71="",G71="",G71=0),"",H71/G71)</f>
        <v/>
      </c>
      <c r="J71" s="18" t="n"/>
      <c r="K71" s="22">
        <f>IF(I71="","",IF(I71&gt;=$N$3,"Yes","No"))</f>
        <v/>
      </c>
    </row>
    <row r="72">
      <c r="A72" s="18" t="n"/>
      <c r="B72" s="19" t="n"/>
      <c r="C72" s="19" t="n"/>
      <c r="D72" s="19" t="n"/>
      <c r="E72" s="19" t="n"/>
      <c r="F72" s="20">
        <f>IF(A72="","",SUM(B72:E72))</f>
        <v/>
      </c>
      <c r="G72" s="19" t="n"/>
      <c r="H72" s="20">
        <f>IF(OR(A72="",G72=""),"",G72-F72)</f>
        <v/>
      </c>
      <c r="I72" s="21">
        <f>IF(OR(A72="",G72="",G72=0),"",H72/G72)</f>
        <v/>
      </c>
      <c r="J72" s="18" t="n"/>
      <c r="K72" s="22">
        <f>IF(I72="","",IF(I72&gt;=$N$3,"Yes","No"))</f>
        <v/>
      </c>
    </row>
    <row r="73">
      <c r="A73" s="18" t="n"/>
      <c r="B73" s="19" t="n"/>
      <c r="C73" s="19" t="n"/>
      <c r="D73" s="19" t="n"/>
      <c r="E73" s="19" t="n"/>
      <c r="F73" s="20">
        <f>IF(A73="","",SUM(B73:E73))</f>
        <v/>
      </c>
      <c r="G73" s="19" t="n"/>
      <c r="H73" s="20">
        <f>IF(OR(A73="",G73=""),"",G73-F73)</f>
        <v/>
      </c>
      <c r="I73" s="21">
        <f>IF(OR(A73="",G73="",G73=0),"",H73/G73)</f>
        <v/>
      </c>
      <c r="J73" s="18" t="n"/>
      <c r="K73" s="22">
        <f>IF(I73="","",IF(I73&gt;=$N$3,"Yes","No"))</f>
        <v/>
      </c>
    </row>
    <row r="74">
      <c r="A74" s="18" t="n"/>
      <c r="B74" s="19" t="n"/>
      <c r="C74" s="19" t="n"/>
      <c r="D74" s="19" t="n"/>
      <c r="E74" s="19" t="n"/>
      <c r="F74" s="20">
        <f>IF(A74="","",SUM(B74:E74))</f>
        <v/>
      </c>
      <c r="G74" s="19" t="n"/>
      <c r="H74" s="20">
        <f>IF(OR(A74="",G74=""),"",G74-F74)</f>
        <v/>
      </c>
      <c r="I74" s="21">
        <f>IF(OR(A74="",G74="",G74=0),"",H74/G74)</f>
        <v/>
      </c>
      <c r="J74" s="18" t="n"/>
      <c r="K74" s="22">
        <f>IF(I74="","",IF(I74&gt;=$N$3,"Yes","No"))</f>
        <v/>
      </c>
    </row>
    <row r="75">
      <c r="A75" s="18" t="n"/>
      <c r="B75" s="19" t="n"/>
      <c r="C75" s="19" t="n"/>
      <c r="D75" s="19" t="n"/>
      <c r="E75" s="19" t="n"/>
      <c r="F75" s="20">
        <f>IF(A75="","",SUM(B75:E75))</f>
        <v/>
      </c>
      <c r="G75" s="19" t="n"/>
      <c r="H75" s="20">
        <f>IF(OR(A75="",G75=""),"",G75-F75)</f>
        <v/>
      </c>
      <c r="I75" s="21">
        <f>IF(OR(A75="",G75="",G75=0),"",H75/G75)</f>
        <v/>
      </c>
      <c r="J75" s="18" t="n"/>
      <c r="K75" s="22">
        <f>IF(I75="","",IF(I75&gt;=$N$3,"Yes","No"))</f>
        <v/>
      </c>
    </row>
    <row r="76">
      <c r="A76" s="18" t="n"/>
      <c r="B76" s="19" t="n"/>
      <c r="C76" s="19" t="n"/>
      <c r="D76" s="19" t="n"/>
      <c r="E76" s="19" t="n"/>
      <c r="F76" s="20">
        <f>IF(A76="","",SUM(B76:E76))</f>
        <v/>
      </c>
      <c r="G76" s="19" t="n"/>
      <c r="H76" s="20">
        <f>IF(OR(A76="",G76=""),"",G76-F76)</f>
        <v/>
      </c>
      <c r="I76" s="21">
        <f>IF(OR(A76="",G76="",G76=0),"",H76/G76)</f>
        <v/>
      </c>
      <c r="J76" s="18" t="n"/>
      <c r="K76" s="22">
        <f>IF(I76="","",IF(I76&gt;=$N$3,"Yes","No"))</f>
        <v/>
      </c>
    </row>
    <row r="77">
      <c r="A77" s="18" t="n"/>
      <c r="B77" s="19" t="n"/>
      <c r="C77" s="19" t="n"/>
      <c r="D77" s="19" t="n"/>
      <c r="E77" s="19" t="n"/>
      <c r="F77" s="20">
        <f>IF(A77="","",SUM(B77:E77))</f>
        <v/>
      </c>
      <c r="G77" s="19" t="n"/>
      <c r="H77" s="20">
        <f>IF(OR(A77="",G77=""),"",G77-F77)</f>
        <v/>
      </c>
      <c r="I77" s="21">
        <f>IF(OR(A77="",G77="",G77=0),"",H77/G77)</f>
        <v/>
      </c>
      <c r="J77" s="18" t="n"/>
      <c r="K77" s="22">
        <f>IF(I77="","",IF(I77&gt;=$N$3,"Yes","No"))</f>
        <v/>
      </c>
    </row>
    <row r="78">
      <c r="A78" s="18" t="n"/>
      <c r="B78" s="19" t="n"/>
      <c r="C78" s="19" t="n"/>
      <c r="D78" s="19" t="n"/>
      <c r="E78" s="19" t="n"/>
      <c r="F78" s="20">
        <f>IF(A78="","",SUM(B78:E78))</f>
        <v/>
      </c>
      <c r="G78" s="19" t="n"/>
      <c r="H78" s="20">
        <f>IF(OR(A78="",G78=""),"",G78-F78)</f>
        <v/>
      </c>
      <c r="I78" s="21">
        <f>IF(OR(A78="",G78="",G78=0),"",H78/G78)</f>
        <v/>
      </c>
      <c r="J78" s="18" t="n"/>
      <c r="K78" s="22">
        <f>IF(I78="","",IF(I78&gt;=$N$3,"Yes","No"))</f>
        <v/>
      </c>
    </row>
    <row r="79">
      <c r="A79" s="18" t="n"/>
      <c r="B79" s="19" t="n"/>
      <c r="C79" s="19" t="n"/>
      <c r="D79" s="19" t="n"/>
      <c r="E79" s="19" t="n"/>
      <c r="F79" s="20">
        <f>IF(A79="","",SUM(B79:E79))</f>
        <v/>
      </c>
      <c r="G79" s="19" t="n"/>
      <c r="H79" s="20">
        <f>IF(OR(A79="",G79=""),"",G79-F79)</f>
        <v/>
      </c>
      <c r="I79" s="21">
        <f>IF(OR(A79="",G79="",G79=0),"",H79/G79)</f>
        <v/>
      </c>
      <c r="J79" s="18" t="n"/>
      <c r="K79" s="22">
        <f>IF(I79="","",IF(I79&gt;=$N$3,"Yes","No"))</f>
        <v/>
      </c>
    </row>
    <row r="80">
      <c r="A80" s="18" t="n"/>
      <c r="B80" s="19" t="n"/>
      <c r="C80" s="19" t="n"/>
      <c r="D80" s="19" t="n"/>
      <c r="E80" s="19" t="n"/>
      <c r="F80" s="20">
        <f>IF(A80="","",SUM(B80:E80))</f>
        <v/>
      </c>
      <c r="G80" s="19" t="n"/>
      <c r="H80" s="20">
        <f>IF(OR(A80="",G80=""),"",G80-F80)</f>
        <v/>
      </c>
      <c r="I80" s="21">
        <f>IF(OR(A80="",G80="",G80=0),"",H80/G80)</f>
        <v/>
      </c>
      <c r="J80" s="18" t="n"/>
      <c r="K80" s="22">
        <f>IF(I80="","",IF(I80&gt;=$N$3,"Yes","No"))</f>
        <v/>
      </c>
    </row>
    <row r="81">
      <c r="A81" s="18" t="n"/>
      <c r="B81" s="19" t="n"/>
      <c r="C81" s="19" t="n"/>
      <c r="D81" s="19" t="n"/>
      <c r="E81" s="19" t="n"/>
      <c r="F81" s="20">
        <f>IF(A81="","",SUM(B81:E81))</f>
        <v/>
      </c>
      <c r="G81" s="19" t="n"/>
      <c r="H81" s="20">
        <f>IF(OR(A81="",G81=""),"",G81-F81)</f>
        <v/>
      </c>
      <c r="I81" s="21">
        <f>IF(OR(A81="",G81="",G81=0),"",H81/G81)</f>
        <v/>
      </c>
      <c r="J81" s="18" t="n"/>
      <c r="K81" s="22">
        <f>IF(I81="","",IF(I81&gt;=$N$3,"Yes","No"))</f>
        <v/>
      </c>
    </row>
    <row r="82">
      <c r="A82" s="18" t="n"/>
      <c r="B82" s="19" t="n"/>
      <c r="C82" s="19" t="n"/>
      <c r="D82" s="19" t="n"/>
      <c r="E82" s="19" t="n"/>
      <c r="F82" s="20">
        <f>IF(A82="","",SUM(B82:E82))</f>
        <v/>
      </c>
      <c r="G82" s="19" t="n"/>
      <c r="H82" s="20">
        <f>IF(OR(A82="",G82=""),"",G82-F82)</f>
        <v/>
      </c>
      <c r="I82" s="21">
        <f>IF(OR(A82="",G82="",G82=0),"",H82/G82)</f>
        <v/>
      </c>
      <c r="J82" s="18" t="n"/>
      <c r="K82" s="22">
        <f>IF(I82="","",IF(I82&gt;=$N$3,"Yes","No"))</f>
        <v/>
      </c>
    </row>
    <row r="83">
      <c r="A83" s="18" t="n"/>
      <c r="B83" s="19" t="n"/>
      <c r="C83" s="19" t="n"/>
      <c r="D83" s="19" t="n"/>
      <c r="E83" s="19" t="n"/>
      <c r="F83" s="20">
        <f>IF(A83="","",SUM(B83:E83))</f>
        <v/>
      </c>
      <c r="G83" s="19" t="n"/>
      <c r="H83" s="20">
        <f>IF(OR(A83="",G83=""),"",G83-F83)</f>
        <v/>
      </c>
      <c r="I83" s="21">
        <f>IF(OR(A83="",G83="",G83=0),"",H83/G83)</f>
        <v/>
      </c>
      <c r="J83" s="18" t="n"/>
      <c r="K83" s="22">
        <f>IF(I83="","",IF(I83&gt;=$N$3,"Yes","No"))</f>
        <v/>
      </c>
    </row>
    <row r="84">
      <c r="A84" s="18" t="n"/>
      <c r="B84" s="19" t="n"/>
      <c r="C84" s="19" t="n"/>
      <c r="D84" s="19" t="n"/>
      <c r="E84" s="19" t="n"/>
      <c r="F84" s="20">
        <f>IF(A84="","",SUM(B84:E84))</f>
        <v/>
      </c>
      <c r="G84" s="19" t="n"/>
      <c r="H84" s="20">
        <f>IF(OR(A84="",G84=""),"",G84-F84)</f>
        <v/>
      </c>
      <c r="I84" s="21">
        <f>IF(OR(A84="",G84="",G84=0),"",H84/G84)</f>
        <v/>
      </c>
      <c r="J84" s="18" t="n"/>
      <c r="K84" s="22">
        <f>IF(I84="","",IF(I84&gt;=$N$3,"Yes","No"))</f>
        <v/>
      </c>
    </row>
    <row r="85">
      <c r="A85" s="18" t="n"/>
      <c r="B85" s="19" t="n"/>
      <c r="C85" s="19" t="n"/>
      <c r="D85" s="19" t="n"/>
      <c r="E85" s="19" t="n"/>
      <c r="F85" s="20">
        <f>IF(A85="","",SUM(B85:E85))</f>
        <v/>
      </c>
      <c r="G85" s="19" t="n"/>
      <c r="H85" s="20">
        <f>IF(OR(A85="",G85=""),"",G85-F85)</f>
        <v/>
      </c>
      <c r="I85" s="21">
        <f>IF(OR(A85="",G85="",G85=0),"",H85/G85)</f>
        <v/>
      </c>
      <c r="J85" s="18" t="n"/>
      <c r="K85" s="22">
        <f>IF(I85="","",IF(I85&gt;=$N$3,"Yes","No"))</f>
        <v/>
      </c>
    </row>
    <row r="86">
      <c r="A86" s="18" t="n"/>
      <c r="B86" s="19" t="n"/>
      <c r="C86" s="19" t="n"/>
      <c r="D86" s="19" t="n"/>
      <c r="E86" s="19" t="n"/>
      <c r="F86" s="20">
        <f>IF(A86="","",SUM(B86:E86))</f>
        <v/>
      </c>
      <c r="G86" s="19" t="n"/>
      <c r="H86" s="20">
        <f>IF(OR(A86="",G86=""),"",G86-F86)</f>
        <v/>
      </c>
      <c r="I86" s="21">
        <f>IF(OR(A86="",G86="",G86=0),"",H86/G86)</f>
        <v/>
      </c>
      <c r="J86" s="18" t="n"/>
      <c r="K86" s="22">
        <f>IF(I86="","",IF(I86&gt;=$N$3,"Yes","No"))</f>
        <v/>
      </c>
    </row>
    <row r="87">
      <c r="A87" s="18" t="n"/>
      <c r="B87" s="19" t="n"/>
      <c r="C87" s="19" t="n"/>
      <c r="D87" s="19" t="n"/>
      <c r="E87" s="19" t="n"/>
      <c r="F87" s="20">
        <f>IF(A87="","",SUM(B87:E87))</f>
        <v/>
      </c>
      <c r="G87" s="19" t="n"/>
      <c r="H87" s="20">
        <f>IF(OR(A87="",G87=""),"",G87-F87)</f>
        <v/>
      </c>
      <c r="I87" s="21">
        <f>IF(OR(A87="",G87="",G87=0),"",H87/G87)</f>
        <v/>
      </c>
      <c r="J87" s="18" t="n"/>
      <c r="K87" s="22">
        <f>IF(I87="","",IF(I87&gt;=$N$3,"Yes","No"))</f>
        <v/>
      </c>
    </row>
    <row r="88">
      <c r="A88" s="18" t="n"/>
      <c r="B88" s="19" t="n"/>
      <c r="C88" s="19" t="n"/>
      <c r="D88" s="19" t="n"/>
      <c r="E88" s="19" t="n"/>
      <c r="F88" s="20">
        <f>IF(A88="","",SUM(B88:E88))</f>
        <v/>
      </c>
      <c r="G88" s="19" t="n"/>
      <c r="H88" s="20">
        <f>IF(OR(A88="",G88=""),"",G88-F88)</f>
        <v/>
      </c>
      <c r="I88" s="21">
        <f>IF(OR(A88="",G88="",G88=0),"",H88/G88)</f>
        <v/>
      </c>
      <c r="J88" s="18" t="n"/>
      <c r="K88" s="22">
        <f>IF(I88="","",IF(I88&gt;=$N$3,"Yes","No"))</f>
        <v/>
      </c>
    </row>
    <row r="89">
      <c r="A89" s="18" t="n"/>
      <c r="B89" s="19" t="n"/>
      <c r="C89" s="19" t="n"/>
      <c r="D89" s="19" t="n"/>
      <c r="E89" s="19" t="n"/>
      <c r="F89" s="20">
        <f>IF(A89="","",SUM(B89:E89))</f>
        <v/>
      </c>
      <c r="G89" s="19" t="n"/>
      <c r="H89" s="20">
        <f>IF(OR(A89="",G89=""),"",G89-F89)</f>
        <v/>
      </c>
      <c r="I89" s="21">
        <f>IF(OR(A89="",G89="",G89=0),"",H89/G89)</f>
        <v/>
      </c>
      <c r="J89" s="18" t="n"/>
      <c r="K89" s="22">
        <f>IF(I89="","",IF(I89&gt;=$N$3,"Yes","No"))</f>
        <v/>
      </c>
    </row>
    <row r="90">
      <c r="A90" s="18" t="n"/>
      <c r="B90" s="19" t="n"/>
      <c r="C90" s="19" t="n"/>
      <c r="D90" s="19" t="n"/>
      <c r="E90" s="19" t="n"/>
      <c r="F90" s="20">
        <f>IF(A90="","",SUM(B90:E90))</f>
        <v/>
      </c>
      <c r="G90" s="19" t="n"/>
      <c r="H90" s="20">
        <f>IF(OR(A90="",G90=""),"",G90-F90)</f>
        <v/>
      </c>
      <c r="I90" s="21">
        <f>IF(OR(A90="",G90="",G90=0),"",H90/G90)</f>
        <v/>
      </c>
      <c r="J90" s="18" t="n"/>
      <c r="K90" s="22">
        <f>IF(I90="","",IF(I90&gt;=$N$3,"Yes","No"))</f>
        <v/>
      </c>
    </row>
    <row r="91">
      <c r="A91" s="18" t="n"/>
      <c r="B91" s="19" t="n"/>
      <c r="C91" s="19" t="n"/>
      <c r="D91" s="19" t="n"/>
      <c r="E91" s="19" t="n"/>
      <c r="F91" s="20">
        <f>IF(A91="","",SUM(B91:E91))</f>
        <v/>
      </c>
      <c r="G91" s="19" t="n"/>
      <c r="H91" s="20">
        <f>IF(OR(A91="",G91=""),"",G91-F91)</f>
        <v/>
      </c>
      <c r="I91" s="21">
        <f>IF(OR(A91="",G91="",G91=0),"",H91/G91)</f>
        <v/>
      </c>
      <c r="J91" s="18" t="n"/>
      <c r="K91" s="22">
        <f>IF(I91="","",IF(I91&gt;=$N$3,"Yes","No"))</f>
        <v/>
      </c>
    </row>
    <row r="92">
      <c r="A92" s="18" t="n"/>
      <c r="B92" s="19" t="n"/>
      <c r="C92" s="19" t="n"/>
      <c r="D92" s="19" t="n"/>
      <c r="E92" s="19" t="n"/>
      <c r="F92" s="20">
        <f>IF(A92="","",SUM(B92:E92))</f>
        <v/>
      </c>
      <c r="G92" s="19" t="n"/>
      <c r="H92" s="20">
        <f>IF(OR(A92="",G92=""),"",G92-F92)</f>
        <v/>
      </c>
      <c r="I92" s="21">
        <f>IF(OR(A92="",G92="",G92=0),"",H92/G92)</f>
        <v/>
      </c>
      <c r="J92" s="18" t="n"/>
      <c r="K92" s="22">
        <f>IF(I92="","",IF(I92&gt;=$N$3,"Yes","No"))</f>
        <v/>
      </c>
    </row>
    <row r="93">
      <c r="A93" s="18" t="n"/>
      <c r="B93" s="19" t="n"/>
      <c r="C93" s="19" t="n"/>
      <c r="D93" s="19" t="n"/>
      <c r="E93" s="19" t="n"/>
      <c r="F93" s="20">
        <f>IF(A93="","",SUM(B93:E93))</f>
        <v/>
      </c>
      <c r="G93" s="19" t="n"/>
      <c r="H93" s="20">
        <f>IF(OR(A93="",G93=""),"",G93-F93)</f>
        <v/>
      </c>
      <c r="I93" s="21">
        <f>IF(OR(A93="",G93="",G93=0),"",H93/G93)</f>
        <v/>
      </c>
      <c r="J93" s="18" t="n"/>
      <c r="K93" s="22">
        <f>IF(I93="","",IF(I93&gt;=$N$3,"Yes","No"))</f>
        <v/>
      </c>
    </row>
    <row r="94">
      <c r="A94" s="18" t="n"/>
      <c r="B94" s="19" t="n"/>
      <c r="C94" s="19" t="n"/>
      <c r="D94" s="19" t="n"/>
      <c r="E94" s="19" t="n"/>
      <c r="F94" s="20">
        <f>IF(A94="","",SUM(B94:E94))</f>
        <v/>
      </c>
      <c r="G94" s="19" t="n"/>
      <c r="H94" s="20">
        <f>IF(OR(A94="",G94=""),"",G94-F94)</f>
        <v/>
      </c>
      <c r="I94" s="21">
        <f>IF(OR(A94="",G94="",G94=0),"",H94/G94)</f>
        <v/>
      </c>
      <c r="J94" s="18" t="n"/>
      <c r="K94" s="22">
        <f>IF(I94="","",IF(I94&gt;=$N$3,"Yes","No"))</f>
        <v/>
      </c>
    </row>
    <row r="95">
      <c r="A95" s="18" t="n"/>
      <c r="B95" s="19" t="n"/>
      <c r="C95" s="19" t="n"/>
      <c r="D95" s="19" t="n"/>
      <c r="E95" s="19" t="n"/>
      <c r="F95" s="20">
        <f>IF(A95="","",SUM(B95:E95))</f>
        <v/>
      </c>
      <c r="G95" s="19" t="n"/>
      <c r="H95" s="20">
        <f>IF(OR(A95="",G95=""),"",G95-F95)</f>
        <v/>
      </c>
      <c r="I95" s="21">
        <f>IF(OR(A95="",G95="",G95=0),"",H95/G95)</f>
        <v/>
      </c>
      <c r="J95" s="18" t="n"/>
      <c r="K95" s="22">
        <f>IF(I95="","",IF(I95&gt;=$N$3,"Yes","No"))</f>
        <v/>
      </c>
    </row>
    <row r="96">
      <c r="A96" s="18" t="n"/>
      <c r="B96" s="19" t="n"/>
      <c r="C96" s="19" t="n"/>
      <c r="D96" s="19" t="n"/>
      <c r="E96" s="19" t="n"/>
      <c r="F96" s="20">
        <f>IF(A96="","",SUM(B96:E96))</f>
        <v/>
      </c>
      <c r="G96" s="19" t="n"/>
      <c r="H96" s="20">
        <f>IF(OR(A96="",G96=""),"",G96-F96)</f>
        <v/>
      </c>
      <c r="I96" s="21">
        <f>IF(OR(A96="",G96="",G96=0),"",H96/G96)</f>
        <v/>
      </c>
      <c r="J96" s="18" t="n"/>
      <c r="K96" s="22">
        <f>IF(I96="","",IF(I96&gt;=$N$3,"Yes","No"))</f>
        <v/>
      </c>
    </row>
    <row r="97">
      <c r="A97" s="18" t="n"/>
      <c r="B97" s="19" t="n"/>
      <c r="C97" s="19" t="n"/>
      <c r="D97" s="19" t="n"/>
      <c r="E97" s="19" t="n"/>
      <c r="F97" s="20">
        <f>IF(A97="","",SUM(B97:E97))</f>
        <v/>
      </c>
      <c r="G97" s="19" t="n"/>
      <c r="H97" s="20">
        <f>IF(OR(A97="",G97=""),"",G97-F97)</f>
        <v/>
      </c>
      <c r="I97" s="21">
        <f>IF(OR(A97="",G97="",G97=0),"",H97/G97)</f>
        <v/>
      </c>
      <c r="J97" s="18" t="n"/>
      <c r="K97" s="22">
        <f>IF(I97="","",IF(I97&gt;=$N$3,"Yes","No"))</f>
        <v/>
      </c>
    </row>
    <row r="98">
      <c r="A98" s="18" t="n"/>
      <c r="B98" s="19" t="n"/>
      <c r="C98" s="19" t="n"/>
      <c r="D98" s="19" t="n"/>
      <c r="E98" s="19" t="n"/>
      <c r="F98" s="20">
        <f>IF(A98="","",SUM(B98:E98))</f>
        <v/>
      </c>
      <c r="G98" s="19" t="n"/>
      <c r="H98" s="20">
        <f>IF(OR(A98="",G98=""),"",G98-F98)</f>
        <v/>
      </c>
      <c r="I98" s="21">
        <f>IF(OR(A98="",G98="",G98=0),"",H98/G98)</f>
        <v/>
      </c>
      <c r="J98" s="18" t="n"/>
      <c r="K98" s="22">
        <f>IF(I98="","",IF(I98&gt;=$N$3,"Yes","No"))</f>
        <v/>
      </c>
    </row>
    <row r="99">
      <c r="A99" s="18" t="n"/>
      <c r="B99" s="19" t="n"/>
      <c r="C99" s="19" t="n"/>
      <c r="D99" s="19" t="n"/>
      <c r="E99" s="19" t="n"/>
      <c r="F99" s="20">
        <f>IF(A99="","",SUM(B99:E99))</f>
        <v/>
      </c>
      <c r="G99" s="19" t="n"/>
      <c r="H99" s="20">
        <f>IF(OR(A99="",G99=""),"",G99-F99)</f>
        <v/>
      </c>
      <c r="I99" s="21">
        <f>IF(OR(A99="",G99="",G99=0),"",H99/G99)</f>
        <v/>
      </c>
      <c r="J99" s="18" t="n"/>
      <c r="K99" s="22">
        <f>IF(I99="","",IF(I99&gt;=$N$3,"Yes","No"))</f>
        <v/>
      </c>
    </row>
    <row r="100">
      <c r="A100" s="18" t="n"/>
      <c r="B100" s="19" t="n"/>
      <c r="C100" s="19" t="n"/>
      <c r="D100" s="19" t="n"/>
      <c r="E100" s="19" t="n"/>
      <c r="F100" s="20">
        <f>IF(A100="","",SUM(B100:E100))</f>
        <v/>
      </c>
      <c r="G100" s="19" t="n"/>
      <c r="H100" s="20">
        <f>IF(OR(A100="",G100=""),"",G100-F100)</f>
        <v/>
      </c>
      <c r="I100" s="21">
        <f>IF(OR(A100="",G100="",G100=0),"",H100/G100)</f>
        <v/>
      </c>
      <c r="J100" s="18" t="n"/>
      <c r="K100" s="22">
        <f>IF(I100="","",IF(I100&gt;=$N$3,"Yes","No"))</f>
        <v/>
      </c>
    </row>
    <row r="101">
      <c r="A101" s="18" t="n"/>
      <c r="B101" s="19" t="n"/>
      <c r="C101" s="19" t="n"/>
      <c r="D101" s="19" t="n"/>
      <c r="E101" s="19" t="n"/>
      <c r="F101" s="20">
        <f>IF(A101="","",SUM(B101:E101))</f>
        <v/>
      </c>
      <c r="G101" s="19" t="n"/>
      <c r="H101" s="20">
        <f>IF(OR(A101="",G101=""),"",G101-F101)</f>
        <v/>
      </c>
      <c r="I101" s="21">
        <f>IF(OR(A101="",G101="",G101=0),"",H101/G101)</f>
        <v/>
      </c>
      <c r="J101" s="18" t="n"/>
      <c r="K101" s="22">
        <f>IF(I101="","",IF(I101&gt;=$N$3,"Yes","No"))</f>
        <v/>
      </c>
    </row>
    <row r="102">
      <c r="A102" s="18" t="n"/>
      <c r="B102" s="19" t="n"/>
      <c r="C102" s="19" t="n"/>
      <c r="D102" s="19" t="n"/>
      <c r="E102" s="19" t="n"/>
      <c r="F102" s="20">
        <f>IF(A102="","",SUM(B102:E102))</f>
        <v/>
      </c>
      <c r="G102" s="19" t="n"/>
      <c r="H102" s="20">
        <f>IF(OR(A102="",G102=""),"",G102-F102)</f>
        <v/>
      </c>
      <c r="I102" s="21">
        <f>IF(OR(A102="",G102="",G102=0),"",H102/G102)</f>
        <v/>
      </c>
      <c r="J102" s="18" t="n"/>
      <c r="K102" s="22">
        <f>IF(I102="","",IF(I102&gt;=$N$3,"Yes","No"))</f>
        <v/>
      </c>
    </row>
    <row r="103">
      <c r="A103" s="18" t="n"/>
      <c r="B103" s="19" t="n"/>
      <c r="C103" s="19" t="n"/>
      <c r="D103" s="19" t="n"/>
      <c r="E103" s="19" t="n"/>
      <c r="F103" s="20">
        <f>IF(A103="","",SUM(B103:E103))</f>
        <v/>
      </c>
      <c r="G103" s="19" t="n"/>
      <c r="H103" s="20">
        <f>IF(OR(A103="",G103=""),"",G103-F103)</f>
        <v/>
      </c>
      <c r="I103" s="21">
        <f>IF(OR(A103="",G103="",G103=0),"",H103/G103)</f>
        <v/>
      </c>
      <c r="J103" s="18" t="n"/>
      <c r="K103" s="22">
        <f>IF(I103="","",IF(I103&gt;=$N$3,"Yes","No"))</f>
        <v/>
      </c>
    </row>
    <row r="104">
      <c r="A104" s="18" t="n"/>
      <c r="B104" s="19" t="n"/>
      <c r="C104" s="19" t="n"/>
      <c r="D104" s="19" t="n"/>
      <c r="E104" s="19" t="n"/>
      <c r="F104" s="20">
        <f>IF(A104="","",SUM(B104:E104))</f>
        <v/>
      </c>
      <c r="G104" s="19" t="n"/>
      <c r="H104" s="20">
        <f>IF(OR(A104="",G104=""),"",G104-F104)</f>
        <v/>
      </c>
      <c r="I104" s="21">
        <f>IF(OR(A104="",G104="",G104=0),"",H104/G104)</f>
        <v/>
      </c>
      <c r="J104" s="18" t="n"/>
      <c r="K104" s="22">
        <f>IF(I104="","",IF(I104&gt;=$N$3,"Yes","No"))</f>
        <v/>
      </c>
    </row>
    <row r="105">
      <c r="A105" s="18" t="n"/>
      <c r="B105" s="19" t="n"/>
      <c r="C105" s="19" t="n"/>
      <c r="D105" s="19" t="n"/>
      <c r="E105" s="19" t="n"/>
      <c r="F105" s="20">
        <f>IF(A105="","",SUM(B105:E105))</f>
        <v/>
      </c>
      <c r="G105" s="19" t="n"/>
      <c r="H105" s="20">
        <f>IF(OR(A105="",G105=""),"",G105-F105)</f>
        <v/>
      </c>
      <c r="I105" s="21">
        <f>IF(OR(A105="",G105="",G105=0),"",H105/G105)</f>
        <v/>
      </c>
      <c r="J105" s="18" t="n"/>
      <c r="K105" s="22">
        <f>IF(I105="","",IF(I105&gt;=$N$3,"Yes","No"))</f>
        <v/>
      </c>
    </row>
    <row r="106">
      <c r="A106" s="18" t="n"/>
      <c r="B106" s="19" t="n"/>
      <c r="C106" s="19" t="n"/>
      <c r="D106" s="19" t="n"/>
      <c r="E106" s="19" t="n"/>
      <c r="F106" s="20">
        <f>IF(A106="","",SUM(B106:E106))</f>
        <v/>
      </c>
      <c r="G106" s="19" t="n"/>
      <c r="H106" s="20">
        <f>IF(OR(A106="",G106=""),"",G106-F106)</f>
        <v/>
      </c>
      <c r="I106" s="21">
        <f>IF(OR(A106="",G106="",G106=0),"",H106/G106)</f>
        <v/>
      </c>
      <c r="J106" s="18" t="n"/>
      <c r="K106" s="22">
        <f>IF(I106="","",IF(I106&gt;=$N$3,"Yes","No"))</f>
        <v/>
      </c>
    </row>
    <row r="107">
      <c r="A107" s="18" t="n"/>
      <c r="B107" s="19" t="n"/>
      <c r="C107" s="19" t="n"/>
      <c r="D107" s="19" t="n"/>
      <c r="E107" s="19" t="n"/>
      <c r="F107" s="20">
        <f>IF(A107="","",SUM(B107:E107))</f>
        <v/>
      </c>
      <c r="G107" s="19" t="n"/>
      <c r="H107" s="20">
        <f>IF(OR(A107="",G107=""),"",G107-F107)</f>
        <v/>
      </c>
      <c r="I107" s="21">
        <f>IF(OR(A107="",G107="",G107=0),"",H107/G107)</f>
        <v/>
      </c>
      <c r="J107" s="18" t="n"/>
      <c r="K107" s="22">
        <f>IF(I107="","",IF(I107&gt;=$N$3,"Yes","No"))</f>
        <v/>
      </c>
    </row>
    <row r="108">
      <c r="A108" s="18" t="n"/>
      <c r="B108" s="19" t="n"/>
      <c r="C108" s="19" t="n"/>
      <c r="D108" s="19" t="n"/>
      <c r="E108" s="19" t="n"/>
      <c r="F108" s="20">
        <f>IF(A108="","",SUM(B108:E108))</f>
        <v/>
      </c>
      <c r="G108" s="19" t="n"/>
      <c r="H108" s="20">
        <f>IF(OR(A108="",G108=""),"",G108-F108)</f>
        <v/>
      </c>
      <c r="I108" s="21">
        <f>IF(OR(A108="",G108="",G108=0),"",H108/G108)</f>
        <v/>
      </c>
      <c r="J108" s="18" t="n"/>
      <c r="K108" s="22">
        <f>IF(I108="","",IF(I108&gt;=$N$3,"Yes","No"))</f>
        <v/>
      </c>
    </row>
    <row r="109">
      <c r="A109" s="18" t="n"/>
      <c r="B109" s="19" t="n"/>
      <c r="C109" s="19" t="n"/>
      <c r="D109" s="19" t="n"/>
      <c r="E109" s="19" t="n"/>
      <c r="F109" s="20">
        <f>IF(A109="","",SUM(B109:E109))</f>
        <v/>
      </c>
      <c r="G109" s="19" t="n"/>
      <c r="H109" s="20">
        <f>IF(OR(A109="",G109=""),"",G109-F109)</f>
        <v/>
      </c>
      <c r="I109" s="21">
        <f>IF(OR(A109="",G109="",G109=0),"",H109/G109)</f>
        <v/>
      </c>
      <c r="J109" s="18" t="n"/>
      <c r="K109" s="22">
        <f>IF(I109="","",IF(I109&gt;=$N$3,"Yes","No"))</f>
        <v/>
      </c>
    </row>
    <row r="110">
      <c r="A110" s="18" t="n"/>
      <c r="B110" s="19" t="n"/>
      <c r="C110" s="19" t="n"/>
      <c r="D110" s="19" t="n"/>
      <c r="E110" s="19" t="n"/>
      <c r="F110" s="20">
        <f>IF(A110="","",SUM(B110:E110))</f>
        <v/>
      </c>
      <c r="G110" s="19" t="n"/>
      <c r="H110" s="20">
        <f>IF(OR(A110="",G110=""),"",G110-F110)</f>
        <v/>
      </c>
      <c r="I110" s="21">
        <f>IF(OR(A110="",G110="",G110=0),"",H110/G110)</f>
        <v/>
      </c>
      <c r="J110" s="18" t="n"/>
      <c r="K110" s="22">
        <f>IF(I110="","",IF(I110&gt;=$N$3,"Yes","No"))</f>
        <v/>
      </c>
    </row>
    <row r="111">
      <c r="A111" s="18" t="n"/>
      <c r="B111" s="19" t="n"/>
      <c r="C111" s="19" t="n"/>
      <c r="D111" s="19" t="n"/>
      <c r="E111" s="19" t="n"/>
      <c r="F111" s="20">
        <f>IF(A111="","",SUM(B111:E111))</f>
        <v/>
      </c>
      <c r="G111" s="19" t="n"/>
      <c r="H111" s="20">
        <f>IF(OR(A111="",G111=""),"",G111-F111)</f>
        <v/>
      </c>
      <c r="I111" s="21">
        <f>IF(OR(A111="",G111="",G111=0),"",H111/G111)</f>
        <v/>
      </c>
      <c r="J111" s="18" t="n"/>
      <c r="K111" s="22">
        <f>IF(I111="","",IF(I111&gt;=$N$3,"Yes","No"))</f>
        <v/>
      </c>
    </row>
    <row r="112">
      <c r="A112" s="18" t="n"/>
      <c r="B112" s="19" t="n"/>
      <c r="C112" s="19" t="n"/>
      <c r="D112" s="19" t="n"/>
      <c r="E112" s="19" t="n"/>
      <c r="F112" s="20">
        <f>IF(A112="","",SUM(B112:E112))</f>
        <v/>
      </c>
      <c r="G112" s="19" t="n"/>
      <c r="H112" s="20">
        <f>IF(OR(A112="",G112=""),"",G112-F112)</f>
        <v/>
      </c>
      <c r="I112" s="21">
        <f>IF(OR(A112="",G112="",G112=0),"",H112/G112)</f>
        <v/>
      </c>
      <c r="J112" s="18" t="n"/>
      <c r="K112" s="22">
        <f>IF(I112="","",IF(I112&gt;=$N$3,"Yes","No"))</f>
        <v/>
      </c>
    </row>
    <row r="113">
      <c r="A113" s="18" t="n"/>
      <c r="B113" s="19" t="n"/>
      <c r="C113" s="19" t="n"/>
      <c r="D113" s="19" t="n"/>
      <c r="E113" s="19" t="n"/>
      <c r="F113" s="20">
        <f>IF(A113="","",SUM(B113:E113))</f>
        <v/>
      </c>
      <c r="G113" s="19" t="n"/>
      <c r="H113" s="20">
        <f>IF(OR(A113="",G113=""),"",G113-F113)</f>
        <v/>
      </c>
      <c r="I113" s="21">
        <f>IF(OR(A113="",G113="",G113=0),"",H113/G113)</f>
        <v/>
      </c>
      <c r="J113" s="18" t="n"/>
      <c r="K113" s="22">
        <f>IF(I113="","",IF(I113&gt;=$N$3,"Yes","No"))</f>
        <v/>
      </c>
    </row>
    <row r="114">
      <c r="A114" s="18" t="n"/>
      <c r="B114" s="19" t="n"/>
      <c r="C114" s="19" t="n"/>
      <c r="D114" s="19" t="n"/>
      <c r="E114" s="19" t="n"/>
      <c r="F114" s="20">
        <f>IF(A114="","",SUM(B114:E114))</f>
        <v/>
      </c>
      <c r="G114" s="19" t="n"/>
      <c r="H114" s="20">
        <f>IF(OR(A114="",G114=""),"",G114-F114)</f>
        <v/>
      </c>
      <c r="I114" s="21">
        <f>IF(OR(A114="",G114="",G114=0),"",H114/G114)</f>
        <v/>
      </c>
      <c r="J114" s="18" t="n"/>
      <c r="K114" s="22">
        <f>IF(I114="","",IF(I114&gt;=$N$3,"Yes","No"))</f>
        <v/>
      </c>
    </row>
    <row r="115">
      <c r="A115" s="18" t="n"/>
      <c r="B115" s="19" t="n"/>
      <c r="C115" s="19" t="n"/>
      <c r="D115" s="19" t="n"/>
      <c r="E115" s="19" t="n"/>
      <c r="F115" s="20">
        <f>IF(A115="","",SUM(B115:E115))</f>
        <v/>
      </c>
      <c r="G115" s="19" t="n"/>
      <c r="H115" s="20">
        <f>IF(OR(A115="",G115=""),"",G115-F115)</f>
        <v/>
      </c>
      <c r="I115" s="21">
        <f>IF(OR(A115="",G115="",G115=0),"",H115/G115)</f>
        <v/>
      </c>
      <c r="J115" s="18" t="n"/>
      <c r="K115" s="22">
        <f>IF(I115="","",IF(I115&gt;=$N$3,"Yes","No"))</f>
        <v/>
      </c>
    </row>
    <row r="116">
      <c r="A116" s="18" t="n"/>
      <c r="B116" s="19" t="n"/>
      <c r="C116" s="19" t="n"/>
      <c r="D116" s="19" t="n"/>
      <c r="E116" s="19" t="n"/>
      <c r="F116" s="20">
        <f>IF(A116="","",SUM(B116:E116))</f>
        <v/>
      </c>
      <c r="G116" s="19" t="n"/>
      <c r="H116" s="20">
        <f>IF(OR(A116="",G116=""),"",G116-F116)</f>
        <v/>
      </c>
      <c r="I116" s="21">
        <f>IF(OR(A116="",G116="",G116=0),"",H116/G116)</f>
        <v/>
      </c>
      <c r="J116" s="18" t="n"/>
      <c r="K116" s="22">
        <f>IF(I116="","",IF(I116&gt;=$N$3,"Yes","No"))</f>
        <v/>
      </c>
    </row>
    <row r="117">
      <c r="A117" s="18" t="n"/>
      <c r="B117" s="19" t="n"/>
      <c r="C117" s="19" t="n"/>
      <c r="D117" s="19" t="n"/>
      <c r="E117" s="19" t="n"/>
      <c r="F117" s="20">
        <f>IF(A117="","",SUM(B117:E117))</f>
        <v/>
      </c>
      <c r="G117" s="19" t="n"/>
      <c r="H117" s="20">
        <f>IF(OR(A117="",G117=""),"",G117-F117)</f>
        <v/>
      </c>
      <c r="I117" s="21">
        <f>IF(OR(A117="",G117="",G117=0),"",H117/G117)</f>
        <v/>
      </c>
      <c r="J117" s="18" t="n"/>
      <c r="K117" s="22">
        <f>IF(I117="","",IF(I117&gt;=$N$3,"Yes","No"))</f>
        <v/>
      </c>
    </row>
    <row r="118">
      <c r="A118" s="18" t="n"/>
      <c r="B118" s="19" t="n"/>
      <c r="C118" s="19" t="n"/>
      <c r="D118" s="19" t="n"/>
      <c r="E118" s="19" t="n"/>
      <c r="F118" s="20">
        <f>IF(A118="","",SUM(B118:E118))</f>
        <v/>
      </c>
      <c r="G118" s="19" t="n"/>
      <c r="H118" s="20">
        <f>IF(OR(A118="",G118=""),"",G118-F118)</f>
        <v/>
      </c>
      <c r="I118" s="21">
        <f>IF(OR(A118="",G118="",G118=0),"",H118/G118)</f>
        <v/>
      </c>
      <c r="J118" s="18" t="n"/>
      <c r="K118" s="22">
        <f>IF(I118="","",IF(I118&gt;=$N$3,"Yes","No"))</f>
        <v/>
      </c>
    </row>
    <row r="119">
      <c r="A119" s="18" t="n"/>
      <c r="B119" s="19" t="n"/>
      <c r="C119" s="19" t="n"/>
      <c r="D119" s="19" t="n"/>
      <c r="E119" s="19" t="n"/>
      <c r="F119" s="20">
        <f>IF(A119="","",SUM(B119:E119))</f>
        <v/>
      </c>
      <c r="G119" s="19" t="n"/>
      <c r="H119" s="20">
        <f>IF(OR(A119="",G119=""),"",G119-F119)</f>
        <v/>
      </c>
      <c r="I119" s="21">
        <f>IF(OR(A119="",G119="",G119=0),"",H119/G119)</f>
        <v/>
      </c>
      <c r="J119" s="18" t="n"/>
      <c r="K119" s="22">
        <f>IF(I119="","",IF(I119&gt;=$N$3,"Yes","No"))</f>
        <v/>
      </c>
    </row>
    <row r="120">
      <c r="A120" s="18" t="n"/>
      <c r="B120" s="19" t="n"/>
      <c r="C120" s="19" t="n"/>
      <c r="D120" s="19" t="n"/>
      <c r="E120" s="19" t="n"/>
      <c r="F120" s="20">
        <f>IF(A120="","",SUM(B120:E120))</f>
        <v/>
      </c>
      <c r="G120" s="19" t="n"/>
      <c r="H120" s="20">
        <f>IF(OR(A120="",G120=""),"",G120-F120)</f>
        <v/>
      </c>
      <c r="I120" s="21">
        <f>IF(OR(A120="",G120="",G120=0),"",H120/G120)</f>
        <v/>
      </c>
      <c r="J120" s="18" t="n"/>
      <c r="K120" s="22">
        <f>IF(I120="","",IF(I120&gt;=$N$3,"Yes","No"))</f>
        <v/>
      </c>
    </row>
    <row r="121">
      <c r="A121" s="18" t="n"/>
      <c r="B121" s="19" t="n"/>
      <c r="C121" s="19" t="n"/>
      <c r="D121" s="19" t="n"/>
      <c r="E121" s="19" t="n"/>
      <c r="F121" s="20">
        <f>IF(A121="","",SUM(B121:E121))</f>
        <v/>
      </c>
      <c r="G121" s="19" t="n"/>
      <c r="H121" s="20">
        <f>IF(OR(A121="",G121=""),"",G121-F121)</f>
        <v/>
      </c>
      <c r="I121" s="21">
        <f>IF(OR(A121="",G121="",G121=0),"",H121/G121)</f>
        <v/>
      </c>
      <c r="J121" s="18" t="n"/>
      <c r="K121" s="22">
        <f>IF(I121="","",IF(I121&gt;=$N$3,"Yes","No"))</f>
        <v/>
      </c>
    </row>
    <row r="122">
      <c r="A122" s="18" t="n"/>
      <c r="B122" s="19" t="n"/>
      <c r="C122" s="19" t="n"/>
      <c r="D122" s="19" t="n"/>
      <c r="E122" s="19" t="n"/>
      <c r="F122" s="20">
        <f>IF(A122="","",SUM(B122:E122))</f>
        <v/>
      </c>
      <c r="G122" s="19" t="n"/>
      <c r="H122" s="20">
        <f>IF(OR(A122="",G122=""),"",G122-F122)</f>
        <v/>
      </c>
      <c r="I122" s="21">
        <f>IF(OR(A122="",G122="",G122=0),"",H122/G122)</f>
        <v/>
      </c>
      <c r="J122" s="18" t="n"/>
      <c r="K122" s="22">
        <f>IF(I122="","",IF(I122&gt;=$N$3,"Yes","No"))</f>
        <v/>
      </c>
    </row>
    <row r="123">
      <c r="A123" s="18" t="n"/>
      <c r="B123" s="19" t="n"/>
      <c r="C123" s="19" t="n"/>
      <c r="D123" s="19" t="n"/>
      <c r="E123" s="19" t="n"/>
      <c r="F123" s="20">
        <f>IF(A123="","",SUM(B123:E123))</f>
        <v/>
      </c>
      <c r="G123" s="19" t="n"/>
      <c r="H123" s="20">
        <f>IF(OR(A123="",G123=""),"",G123-F123)</f>
        <v/>
      </c>
      <c r="I123" s="21">
        <f>IF(OR(A123="",G123="",G123=0),"",H123/G123)</f>
        <v/>
      </c>
      <c r="J123" s="18" t="n"/>
      <c r="K123" s="22">
        <f>IF(I123="","",IF(I123&gt;=$N$3,"Yes","No"))</f>
        <v/>
      </c>
    </row>
    <row r="124">
      <c r="A124" s="18" t="n"/>
      <c r="B124" s="19" t="n"/>
      <c r="C124" s="19" t="n"/>
      <c r="D124" s="19" t="n"/>
      <c r="E124" s="19" t="n"/>
      <c r="F124" s="20">
        <f>IF(A124="","",SUM(B124:E124))</f>
        <v/>
      </c>
      <c r="G124" s="19" t="n"/>
      <c r="H124" s="20">
        <f>IF(OR(A124="",G124=""),"",G124-F124)</f>
        <v/>
      </c>
      <c r="I124" s="21">
        <f>IF(OR(A124="",G124="",G124=0),"",H124/G124)</f>
        <v/>
      </c>
      <c r="J124" s="18" t="n"/>
      <c r="K124" s="22">
        <f>IF(I124="","",IF(I124&gt;=$N$3,"Yes","No"))</f>
        <v/>
      </c>
    </row>
    <row r="125">
      <c r="A125" s="18" t="n"/>
      <c r="B125" s="19" t="n"/>
      <c r="C125" s="19" t="n"/>
      <c r="D125" s="19" t="n"/>
      <c r="E125" s="19" t="n"/>
      <c r="F125" s="20">
        <f>IF(A125="","",SUM(B125:E125))</f>
        <v/>
      </c>
      <c r="G125" s="19" t="n"/>
      <c r="H125" s="20">
        <f>IF(OR(A125="",G125=""),"",G125-F125)</f>
        <v/>
      </c>
      <c r="I125" s="21">
        <f>IF(OR(A125="",G125="",G125=0),"",H125/G125)</f>
        <v/>
      </c>
      <c r="J125" s="18" t="n"/>
      <c r="K125" s="22">
        <f>IF(I125="","",IF(I125&gt;=$N$3,"Yes","No"))</f>
        <v/>
      </c>
    </row>
    <row r="126">
      <c r="A126" s="18" t="n"/>
      <c r="B126" s="19" t="n"/>
      <c r="C126" s="19" t="n"/>
      <c r="D126" s="19" t="n"/>
      <c r="E126" s="19" t="n"/>
      <c r="F126" s="20">
        <f>IF(A126="","",SUM(B126:E126))</f>
        <v/>
      </c>
      <c r="G126" s="19" t="n"/>
      <c r="H126" s="20">
        <f>IF(OR(A126="",G126=""),"",G126-F126)</f>
        <v/>
      </c>
      <c r="I126" s="21">
        <f>IF(OR(A126="",G126="",G126=0),"",H126/G126)</f>
        <v/>
      </c>
      <c r="J126" s="18" t="n"/>
      <c r="K126" s="22">
        <f>IF(I126="","",IF(I126&gt;=$N$3,"Yes","No"))</f>
        <v/>
      </c>
    </row>
    <row r="127">
      <c r="A127" s="18" t="n"/>
      <c r="B127" s="19" t="n"/>
      <c r="C127" s="19" t="n"/>
      <c r="D127" s="19" t="n"/>
      <c r="E127" s="19" t="n"/>
      <c r="F127" s="20">
        <f>IF(A127="","",SUM(B127:E127))</f>
        <v/>
      </c>
      <c r="G127" s="19" t="n"/>
      <c r="H127" s="20">
        <f>IF(OR(A127="",G127=""),"",G127-F127)</f>
        <v/>
      </c>
      <c r="I127" s="21">
        <f>IF(OR(A127="",G127="",G127=0),"",H127/G127)</f>
        <v/>
      </c>
      <c r="J127" s="18" t="n"/>
      <c r="K127" s="22">
        <f>IF(I127="","",IF(I127&gt;=$N$3,"Yes","No"))</f>
        <v/>
      </c>
    </row>
    <row r="128">
      <c r="A128" s="18" t="n"/>
      <c r="B128" s="19" t="n"/>
      <c r="C128" s="19" t="n"/>
      <c r="D128" s="19" t="n"/>
      <c r="E128" s="19" t="n"/>
      <c r="F128" s="20">
        <f>IF(A128="","",SUM(B128:E128))</f>
        <v/>
      </c>
      <c r="G128" s="19" t="n"/>
      <c r="H128" s="20">
        <f>IF(OR(A128="",G128=""),"",G128-F128)</f>
        <v/>
      </c>
      <c r="I128" s="21">
        <f>IF(OR(A128="",G128="",G128=0),"",H128/G128)</f>
        <v/>
      </c>
      <c r="J128" s="18" t="n"/>
      <c r="K128" s="22">
        <f>IF(I128="","",IF(I128&gt;=$N$3,"Yes","No"))</f>
        <v/>
      </c>
    </row>
    <row r="129">
      <c r="A129" s="18" t="n"/>
      <c r="B129" s="19" t="n"/>
      <c r="C129" s="19" t="n"/>
      <c r="D129" s="19" t="n"/>
      <c r="E129" s="19" t="n"/>
      <c r="F129" s="20">
        <f>IF(A129="","",SUM(B129:E129))</f>
        <v/>
      </c>
      <c r="G129" s="19" t="n"/>
      <c r="H129" s="20">
        <f>IF(OR(A129="",G129=""),"",G129-F129)</f>
        <v/>
      </c>
      <c r="I129" s="21">
        <f>IF(OR(A129="",G129="",G129=0),"",H129/G129)</f>
        <v/>
      </c>
      <c r="J129" s="18" t="n"/>
      <c r="K129" s="22">
        <f>IF(I129="","",IF(I129&gt;=$N$3,"Yes","No"))</f>
        <v/>
      </c>
    </row>
    <row r="130">
      <c r="A130" s="18" t="n"/>
      <c r="B130" s="19" t="n"/>
      <c r="C130" s="19" t="n"/>
      <c r="D130" s="19" t="n"/>
      <c r="E130" s="19" t="n"/>
      <c r="F130" s="20">
        <f>IF(A130="","",SUM(B130:E130))</f>
        <v/>
      </c>
      <c r="G130" s="19" t="n"/>
      <c r="H130" s="20">
        <f>IF(OR(A130="",G130=""),"",G130-F130)</f>
        <v/>
      </c>
      <c r="I130" s="21">
        <f>IF(OR(A130="",G130="",G130=0),"",H130/G130)</f>
        <v/>
      </c>
      <c r="J130" s="18" t="n"/>
      <c r="K130" s="22">
        <f>IF(I130="","",IF(I130&gt;=$N$3,"Yes","No"))</f>
        <v/>
      </c>
    </row>
    <row r="131">
      <c r="A131" s="18" t="n"/>
      <c r="B131" s="19" t="n"/>
      <c r="C131" s="19" t="n"/>
      <c r="D131" s="19" t="n"/>
      <c r="E131" s="19" t="n"/>
      <c r="F131" s="20">
        <f>IF(A131="","",SUM(B131:E131))</f>
        <v/>
      </c>
      <c r="G131" s="19" t="n"/>
      <c r="H131" s="20">
        <f>IF(OR(A131="",G131=""),"",G131-F131)</f>
        <v/>
      </c>
      <c r="I131" s="21">
        <f>IF(OR(A131="",G131="",G131=0),"",H131/G131)</f>
        <v/>
      </c>
      <c r="J131" s="18" t="n"/>
      <c r="K131" s="22">
        <f>IF(I131="","",IF(I131&gt;=$N$3,"Yes","No"))</f>
        <v/>
      </c>
    </row>
    <row r="132">
      <c r="A132" s="18" t="n"/>
      <c r="B132" s="19" t="n"/>
      <c r="C132" s="19" t="n"/>
      <c r="D132" s="19" t="n"/>
      <c r="E132" s="19" t="n"/>
      <c r="F132" s="20">
        <f>IF(A132="","",SUM(B132:E132))</f>
        <v/>
      </c>
      <c r="G132" s="19" t="n"/>
      <c r="H132" s="20">
        <f>IF(OR(A132="",G132=""),"",G132-F132)</f>
        <v/>
      </c>
      <c r="I132" s="21">
        <f>IF(OR(A132="",G132="",G132=0),"",H132/G132)</f>
        <v/>
      </c>
      <c r="J132" s="18" t="n"/>
      <c r="K132" s="22">
        <f>IF(I132="","",IF(I132&gt;=$N$3,"Yes","No"))</f>
        <v/>
      </c>
    </row>
    <row r="133">
      <c r="A133" s="18" t="n"/>
      <c r="B133" s="19" t="n"/>
      <c r="C133" s="19" t="n"/>
      <c r="D133" s="19" t="n"/>
      <c r="E133" s="19" t="n"/>
      <c r="F133" s="20">
        <f>IF(A133="","",SUM(B133:E133))</f>
        <v/>
      </c>
      <c r="G133" s="19" t="n"/>
      <c r="H133" s="20">
        <f>IF(OR(A133="",G133=""),"",G133-F133)</f>
        <v/>
      </c>
      <c r="I133" s="21">
        <f>IF(OR(A133="",G133="",G133=0),"",H133/G133)</f>
        <v/>
      </c>
      <c r="J133" s="18" t="n"/>
      <c r="K133" s="22">
        <f>IF(I133="","",IF(I133&gt;=$N$3,"Yes","No"))</f>
        <v/>
      </c>
    </row>
    <row r="134">
      <c r="A134" s="18" t="n"/>
      <c r="B134" s="19" t="n"/>
      <c r="C134" s="19" t="n"/>
      <c r="D134" s="19" t="n"/>
      <c r="E134" s="19" t="n"/>
      <c r="F134" s="20">
        <f>IF(A134="","",SUM(B134:E134))</f>
        <v/>
      </c>
      <c r="G134" s="19" t="n"/>
      <c r="H134" s="20">
        <f>IF(OR(A134="",G134=""),"",G134-F134)</f>
        <v/>
      </c>
      <c r="I134" s="21">
        <f>IF(OR(A134="",G134="",G134=0),"",H134/G134)</f>
        <v/>
      </c>
      <c r="J134" s="18" t="n"/>
      <c r="K134" s="22">
        <f>IF(I134="","",IF(I134&gt;=$N$3,"Yes","No"))</f>
        <v/>
      </c>
    </row>
    <row r="135">
      <c r="A135" s="18" t="n"/>
      <c r="B135" s="19" t="n"/>
      <c r="C135" s="19" t="n"/>
      <c r="D135" s="19" t="n"/>
      <c r="E135" s="19" t="n"/>
      <c r="F135" s="20">
        <f>IF(A135="","",SUM(B135:E135))</f>
        <v/>
      </c>
      <c r="G135" s="19" t="n"/>
      <c r="H135" s="20">
        <f>IF(OR(A135="",G135=""),"",G135-F135)</f>
        <v/>
      </c>
      <c r="I135" s="21">
        <f>IF(OR(A135="",G135="",G135=0),"",H135/G135)</f>
        <v/>
      </c>
      <c r="J135" s="18" t="n"/>
      <c r="K135" s="22">
        <f>IF(I135="","",IF(I135&gt;=$N$3,"Yes","No"))</f>
        <v/>
      </c>
    </row>
    <row r="136">
      <c r="A136" s="18" t="n"/>
      <c r="B136" s="19" t="n"/>
      <c r="C136" s="19" t="n"/>
      <c r="D136" s="19" t="n"/>
      <c r="E136" s="19" t="n"/>
      <c r="F136" s="20">
        <f>IF(A136="","",SUM(B136:E136))</f>
        <v/>
      </c>
      <c r="G136" s="19" t="n"/>
      <c r="H136" s="20">
        <f>IF(OR(A136="",G136=""),"",G136-F136)</f>
        <v/>
      </c>
      <c r="I136" s="21">
        <f>IF(OR(A136="",G136="",G136=0),"",H136/G136)</f>
        <v/>
      </c>
      <c r="J136" s="18" t="n"/>
      <c r="K136" s="22">
        <f>IF(I136="","",IF(I136&gt;=$N$3,"Yes","No"))</f>
        <v/>
      </c>
    </row>
    <row r="137">
      <c r="A137" s="18" t="n"/>
      <c r="B137" s="19" t="n"/>
      <c r="C137" s="19" t="n"/>
      <c r="D137" s="19" t="n"/>
      <c r="E137" s="19" t="n"/>
      <c r="F137" s="20">
        <f>IF(A137="","",SUM(B137:E137))</f>
        <v/>
      </c>
      <c r="G137" s="19" t="n"/>
      <c r="H137" s="20">
        <f>IF(OR(A137="",G137=""),"",G137-F137)</f>
        <v/>
      </c>
      <c r="I137" s="21">
        <f>IF(OR(A137="",G137="",G137=0),"",H137/G137)</f>
        <v/>
      </c>
      <c r="J137" s="18" t="n"/>
      <c r="K137" s="22">
        <f>IF(I137="","",IF(I137&gt;=$N$3,"Yes","No"))</f>
        <v/>
      </c>
    </row>
    <row r="138">
      <c r="A138" s="18" t="n"/>
      <c r="B138" s="19" t="n"/>
      <c r="C138" s="19" t="n"/>
      <c r="D138" s="19" t="n"/>
      <c r="E138" s="19" t="n"/>
      <c r="F138" s="20">
        <f>IF(A138="","",SUM(B138:E138))</f>
        <v/>
      </c>
      <c r="G138" s="19" t="n"/>
      <c r="H138" s="20">
        <f>IF(OR(A138="",G138=""),"",G138-F138)</f>
        <v/>
      </c>
      <c r="I138" s="21">
        <f>IF(OR(A138="",G138="",G138=0),"",H138/G138)</f>
        <v/>
      </c>
      <c r="J138" s="18" t="n"/>
      <c r="K138" s="22">
        <f>IF(I138="","",IF(I138&gt;=$N$3,"Yes","No"))</f>
        <v/>
      </c>
    </row>
    <row r="139">
      <c r="A139" s="18" t="n"/>
      <c r="B139" s="19" t="n"/>
      <c r="C139" s="19" t="n"/>
      <c r="D139" s="19" t="n"/>
      <c r="E139" s="19" t="n"/>
      <c r="F139" s="20">
        <f>IF(A139="","",SUM(B139:E139))</f>
        <v/>
      </c>
      <c r="G139" s="19" t="n"/>
      <c r="H139" s="20">
        <f>IF(OR(A139="",G139=""),"",G139-F139)</f>
        <v/>
      </c>
      <c r="I139" s="21">
        <f>IF(OR(A139="",G139="",G139=0),"",H139/G139)</f>
        <v/>
      </c>
      <c r="J139" s="18" t="n"/>
      <c r="K139" s="22">
        <f>IF(I139="","",IF(I139&gt;=$N$3,"Yes","No"))</f>
        <v/>
      </c>
    </row>
    <row r="140">
      <c r="A140" s="18" t="n"/>
      <c r="B140" s="19" t="n"/>
      <c r="C140" s="19" t="n"/>
      <c r="D140" s="19" t="n"/>
      <c r="E140" s="19" t="n"/>
      <c r="F140" s="20">
        <f>IF(A140="","",SUM(B140:E140))</f>
        <v/>
      </c>
      <c r="G140" s="19" t="n"/>
      <c r="H140" s="20">
        <f>IF(OR(A140="",G140=""),"",G140-F140)</f>
        <v/>
      </c>
      <c r="I140" s="21">
        <f>IF(OR(A140="",G140="",G140=0),"",H140/G140)</f>
        <v/>
      </c>
      <c r="J140" s="18" t="n"/>
      <c r="K140" s="22">
        <f>IF(I140="","",IF(I140&gt;=$N$3,"Yes","No"))</f>
        <v/>
      </c>
    </row>
    <row r="141">
      <c r="A141" s="18" t="n"/>
      <c r="B141" s="19" t="n"/>
      <c r="C141" s="19" t="n"/>
      <c r="D141" s="19" t="n"/>
      <c r="E141" s="19" t="n"/>
      <c r="F141" s="20">
        <f>IF(A141="","",SUM(B141:E141))</f>
        <v/>
      </c>
      <c r="G141" s="19" t="n"/>
      <c r="H141" s="20">
        <f>IF(OR(A141="",G141=""),"",G141-F141)</f>
        <v/>
      </c>
      <c r="I141" s="21">
        <f>IF(OR(A141="",G141="",G141=0),"",H141/G141)</f>
        <v/>
      </c>
      <c r="J141" s="18" t="n"/>
      <c r="K141" s="22">
        <f>IF(I141="","",IF(I141&gt;=$N$3,"Yes","No"))</f>
        <v/>
      </c>
    </row>
    <row r="142">
      <c r="A142" s="18" t="n"/>
      <c r="B142" s="19" t="n"/>
      <c r="C142" s="19" t="n"/>
      <c r="D142" s="19" t="n"/>
      <c r="E142" s="19" t="n"/>
      <c r="F142" s="20">
        <f>IF(A142="","",SUM(B142:E142))</f>
        <v/>
      </c>
      <c r="G142" s="19" t="n"/>
      <c r="H142" s="20">
        <f>IF(OR(A142="",G142=""),"",G142-F142)</f>
        <v/>
      </c>
      <c r="I142" s="21">
        <f>IF(OR(A142="",G142="",G142=0),"",H142/G142)</f>
        <v/>
      </c>
      <c r="J142" s="18" t="n"/>
      <c r="K142" s="22">
        <f>IF(I142="","",IF(I142&gt;=$N$3,"Yes","No"))</f>
        <v/>
      </c>
    </row>
    <row r="143">
      <c r="A143" s="18" t="n"/>
      <c r="B143" s="19" t="n"/>
      <c r="C143" s="19" t="n"/>
      <c r="D143" s="19" t="n"/>
      <c r="E143" s="19" t="n"/>
      <c r="F143" s="20">
        <f>IF(A143="","",SUM(B143:E143))</f>
        <v/>
      </c>
      <c r="G143" s="19" t="n"/>
      <c r="H143" s="20">
        <f>IF(OR(A143="",G143=""),"",G143-F143)</f>
        <v/>
      </c>
      <c r="I143" s="21">
        <f>IF(OR(A143="",G143="",G143=0),"",H143/G143)</f>
        <v/>
      </c>
      <c r="J143" s="18" t="n"/>
      <c r="K143" s="22">
        <f>IF(I143="","",IF(I143&gt;=$N$3,"Yes","No"))</f>
        <v/>
      </c>
    </row>
    <row r="144">
      <c r="A144" s="18" t="n"/>
      <c r="B144" s="19" t="n"/>
      <c r="C144" s="19" t="n"/>
      <c r="D144" s="19" t="n"/>
      <c r="E144" s="19" t="n"/>
      <c r="F144" s="20">
        <f>IF(A144="","",SUM(B144:E144))</f>
        <v/>
      </c>
      <c r="G144" s="19" t="n"/>
      <c r="H144" s="20">
        <f>IF(OR(A144="",G144=""),"",G144-F144)</f>
        <v/>
      </c>
      <c r="I144" s="21">
        <f>IF(OR(A144="",G144="",G144=0),"",H144/G144)</f>
        <v/>
      </c>
      <c r="J144" s="18" t="n"/>
      <c r="K144" s="22">
        <f>IF(I144="","",IF(I144&gt;=$N$3,"Yes","No"))</f>
        <v/>
      </c>
    </row>
    <row r="145">
      <c r="A145" s="18" t="n"/>
      <c r="B145" s="19" t="n"/>
      <c r="C145" s="19" t="n"/>
      <c r="D145" s="19" t="n"/>
      <c r="E145" s="19" t="n"/>
      <c r="F145" s="20">
        <f>IF(A145="","",SUM(B145:E145))</f>
        <v/>
      </c>
      <c r="G145" s="19" t="n"/>
      <c r="H145" s="20">
        <f>IF(OR(A145="",G145=""),"",G145-F145)</f>
        <v/>
      </c>
      <c r="I145" s="21">
        <f>IF(OR(A145="",G145="",G145=0),"",H145/G145)</f>
        <v/>
      </c>
      <c r="J145" s="18" t="n"/>
      <c r="K145" s="22">
        <f>IF(I145="","",IF(I145&gt;=$N$3,"Yes","No"))</f>
        <v/>
      </c>
    </row>
    <row r="146">
      <c r="A146" s="18" t="n"/>
      <c r="B146" s="19" t="n"/>
      <c r="C146" s="19" t="n"/>
      <c r="D146" s="19" t="n"/>
      <c r="E146" s="19" t="n"/>
      <c r="F146" s="20">
        <f>IF(A146="","",SUM(B146:E146))</f>
        <v/>
      </c>
      <c r="G146" s="19" t="n"/>
      <c r="H146" s="20">
        <f>IF(OR(A146="",G146=""),"",G146-F146)</f>
        <v/>
      </c>
      <c r="I146" s="21">
        <f>IF(OR(A146="",G146="",G146=0),"",H146/G146)</f>
        <v/>
      </c>
      <c r="J146" s="18" t="n"/>
      <c r="K146" s="22">
        <f>IF(I146="","",IF(I146&gt;=$N$3,"Yes","No"))</f>
        <v/>
      </c>
    </row>
    <row r="147">
      <c r="A147" s="18" t="n"/>
      <c r="B147" s="19" t="n"/>
      <c r="C147" s="19" t="n"/>
      <c r="D147" s="19" t="n"/>
      <c r="E147" s="19" t="n"/>
      <c r="F147" s="20">
        <f>IF(A147="","",SUM(B147:E147))</f>
        <v/>
      </c>
      <c r="G147" s="19" t="n"/>
      <c r="H147" s="20">
        <f>IF(OR(A147="",G147=""),"",G147-F147)</f>
        <v/>
      </c>
      <c r="I147" s="21">
        <f>IF(OR(A147="",G147="",G147=0),"",H147/G147)</f>
        <v/>
      </c>
      <c r="J147" s="18" t="n"/>
      <c r="K147" s="22">
        <f>IF(I147="","",IF(I147&gt;=$N$3,"Yes","No"))</f>
        <v/>
      </c>
    </row>
    <row r="148">
      <c r="A148" s="18" t="n"/>
      <c r="B148" s="19" t="n"/>
      <c r="C148" s="19" t="n"/>
      <c r="D148" s="19" t="n"/>
      <c r="E148" s="19" t="n"/>
      <c r="F148" s="20">
        <f>IF(A148="","",SUM(B148:E148))</f>
        <v/>
      </c>
      <c r="G148" s="19" t="n"/>
      <c r="H148" s="20">
        <f>IF(OR(A148="",G148=""),"",G148-F148)</f>
        <v/>
      </c>
      <c r="I148" s="21">
        <f>IF(OR(A148="",G148="",G148=0),"",H148/G148)</f>
        <v/>
      </c>
      <c r="J148" s="18" t="n"/>
      <c r="K148" s="22">
        <f>IF(I148="","",IF(I148&gt;=$N$3,"Yes","No"))</f>
        <v/>
      </c>
    </row>
    <row r="149">
      <c r="A149" s="18" t="n"/>
      <c r="B149" s="19" t="n"/>
      <c r="C149" s="19" t="n"/>
      <c r="D149" s="19" t="n"/>
      <c r="E149" s="19" t="n"/>
      <c r="F149" s="20">
        <f>IF(A149="","",SUM(B149:E149))</f>
        <v/>
      </c>
      <c r="G149" s="19" t="n"/>
      <c r="H149" s="20">
        <f>IF(OR(A149="",G149=""),"",G149-F149)</f>
        <v/>
      </c>
      <c r="I149" s="21">
        <f>IF(OR(A149="",G149="",G149=0),"",H149/G149)</f>
        <v/>
      </c>
      <c r="J149" s="18" t="n"/>
      <c r="K149" s="22">
        <f>IF(I149="","",IF(I149&gt;=$N$3,"Yes","No"))</f>
        <v/>
      </c>
    </row>
    <row r="150">
      <c r="A150" s="18" t="n"/>
      <c r="B150" s="19" t="n"/>
      <c r="C150" s="19" t="n"/>
      <c r="D150" s="19" t="n"/>
      <c r="E150" s="19" t="n"/>
      <c r="F150" s="20">
        <f>IF(A150="","",SUM(B150:E150))</f>
        <v/>
      </c>
      <c r="G150" s="19" t="n"/>
      <c r="H150" s="20">
        <f>IF(OR(A150="",G150=""),"",G150-F150)</f>
        <v/>
      </c>
      <c r="I150" s="21">
        <f>IF(OR(A150="",G150="",G150=0),"",H150/G150)</f>
        <v/>
      </c>
      <c r="J150" s="18" t="n"/>
      <c r="K150" s="22">
        <f>IF(I150="","",IF(I150&gt;=$N$3,"Yes","No"))</f>
        <v/>
      </c>
    </row>
    <row r="151">
      <c r="A151" s="18" t="n"/>
      <c r="B151" s="19" t="n"/>
      <c r="C151" s="19" t="n"/>
      <c r="D151" s="19" t="n"/>
      <c r="E151" s="19" t="n"/>
      <c r="F151" s="20">
        <f>IF(A151="","",SUM(B151:E151))</f>
        <v/>
      </c>
      <c r="G151" s="19" t="n"/>
      <c r="H151" s="20">
        <f>IF(OR(A151="",G151=""),"",G151-F151)</f>
        <v/>
      </c>
      <c r="I151" s="21">
        <f>IF(OR(A151="",G151="",G151=0),"",H151/G151)</f>
        <v/>
      </c>
      <c r="J151" s="18" t="n"/>
      <c r="K151" s="22">
        <f>IF(I151="","",IF(I151&gt;=$N$3,"Yes","No"))</f>
        <v/>
      </c>
    </row>
    <row r="152">
      <c r="A152" s="18" t="n"/>
      <c r="B152" s="19" t="n"/>
      <c r="C152" s="19" t="n"/>
      <c r="D152" s="19" t="n"/>
      <c r="E152" s="19" t="n"/>
      <c r="F152" s="20">
        <f>IF(A152="","",SUM(B152:E152))</f>
        <v/>
      </c>
      <c r="G152" s="19" t="n"/>
      <c r="H152" s="20">
        <f>IF(OR(A152="",G152=""),"",G152-F152)</f>
        <v/>
      </c>
      <c r="I152" s="21">
        <f>IF(OR(A152="",G152="",G152=0),"",H152/G152)</f>
        <v/>
      </c>
      <c r="J152" s="18" t="n"/>
      <c r="K152" s="22">
        <f>IF(I152="","",IF(I152&gt;=$N$3,"Yes","No"))</f>
        <v/>
      </c>
    </row>
    <row r="153">
      <c r="A153" s="18" t="n"/>
      <c r="B153" s="19" t="n"/>
      <c r="C153" s="19" t="n"/>
      <c r="D153" s="19" t="n"/>
      <c r="E153" s="19" t="n"/>
      <c r="F153" s="20">
        <f>IF(A153="","",SUM(B153:E153))</f>
        <v/>
      </c>
      <c r="G153" s="19" t="n"/>
      <c r="H153" s="20">
        <f>IF(OR(A153="",G153=""),"",G153-F153)</f>
        <v/>
      </c>
      <c r="I153" s="21">
        <f>IF(OR(A153="",G153="",G153=0),"",H153/G153)</f>
        <v/>
      </c>
      <c r="J153" s="18" t="n"/>
      <c r="K153" s="22">
        <f>IF(I153="","",IF(I153&gt;=$N$3,"Yes","No"))</f>
        <v/>
      </c>
    </row>
    <row r="154">
      <c r="A154" s="18" t="n"/>
      <c r="B154" s="19" t="n"/>
      <c r="C154" s="19" t="n"/>
      <c r="D154" s="19" t="n"/>
      <c r="E154" s="19" t="n"/>
      <c r="F154" s="20">
        <f>IF(A154="","",SUM(B154:E154))</f>
        <v/>
      </c>
      <c r="G154" s="19" t="n"/>
      <c r="H154" s="20">
        <f>IF(OR(A154="",G154=""),"",G154-F154)</f>
        <v/>
      </c>
      <c r="I154" s="21">
        <f>IF(OR(A154="",G154="",G154=0),"",H154/G154)</f>
        <v/>
      </c>
      <c r="J154" s="18" t="n"/>
      <c r="K154" s="22">
        <f>IF(I154="","",IF(I154&gt;=$N$3,"Yes","No"))</f>
        <v/>
      </c>
    </row>
    <row r="155">
      <c r="A155" s="18" t="n"/>
      <c r="B155" s="19" t="n"/>
      <c r="C155" s="19" t="n"/>
      <c r="D155" s="19" t="n"/>
      <c r="E155" s="19" t="n"/>
      <c r="F155" s="20">
        <f>IF(A155="","",SUM(B155:E155))</f>
        <v/>
      </c>
      <c r="G155" s="19" t="n"/>
      <c r="H155" s="20">
        <f>IF(OR(A155="",G155=""),"",G155-F155)</f>
        <v/>
      </c>
      <c r="I155" s="21">
        <f>IF(OR(A155="",G155="",G155=0),"",H155/G155)</f>
        <v/>
      </c>
      <c r="J155" s="18" t="n"/>
      <c r="K155" s="22">
        <f>IF(I155="","",IF(I155&gt;=$N$3,"Yes","No"))</f>
        <v/>
      </c>
    </row>
    <row r="156">
      <c r="A156" s="18" t="n"/>
      <c r="B156" s="19" t="n"/>
      <c r="C156" s="19" t="n"/>
      <c r="D156" s="19" t="n"/>
      <c r="E156" s="19" t="n"/>
      <c r="F156" s="20">
        <f>IF(A156="","",SUM(B156:E156))</f>
        <v/>
      </c>
      <c r="G156" s="19" t="n"/>
      <c r="H156" s="20">
        <f>IF(OR(A156="",G156=""),"",G156-F156)</f>
        <v/>
      </c>
      <c r="I156" s="21">
        <f>IF(OR(A156="",G156="",G156=0),"",H156/G156)</f>
        <v/>
      </c>
      <c r="J156" s="18" t="n"/>
      <c r="K156" s="22">
        <f>IF(I156="","",IF(I156&gt;=$N$3,"Yes","No"))</f>
        <v/>
      </c>
    </row>
    <row r="157">
      <c r="A157" s="18" t="n"/>
      <c r="B157" s="19" t="n"/>
      <c r="C157" s="19" t="n"/>
      <c r="D157" s="19" t="n"/>
      <c r="E157" s="19" t="n"/>
      <c r="F157" s="20">
        <f>IF(A157="","",SUM(B157:E157))</f>
        <v/>
      </c>
      <c r="G157" s="19" t="n"/>
      <c r="H157" s="20">
        <f>IF(OR(A157="",G157=""),"",G157-F157)</f>
        <v/>
      </c>
      <c r="I157" s="21">
        <f>IF(OR(A157="",G157="",G157=0),"",H157/G157)</f>
        <v/>
      </c>
      <c r="J157" s="18" t="n"/>
      <c r="K157" s="22">
        <f>IF(I157="","",IF(I157&gt;=$N$3,"Yes","No"))</f>
        <v/>
      </c>
    </row>
    <row r="158">
      <c r="A158" s="18" t="n"/>
      <c r="B158" s="19" t="n"/>
      <c r="C158" s="19" t="n"/>
      <c r="D158" s="19" t="n"/>
      <c r="E158" s="19" t="n"/>
      <c r="F158" s="20">
        <f>IF(A158="","",SUM(B158:E158))</f>
        <v/>
      </c>
      <c r="G158" s="19" t="n"/>
      <c r="H158" s="20">
        <f>IF(OR(A158="",G158=""),"",G158-F158)</f>
        <v/>
      </c>
      <c r="I158" s="21">
        <f>IF(OR(A158="",G158="",G158=0),"",H158/G158)</f>
        <v/>
      </c>
      <c r="J158" s="18" t="n"/>
      <c r="K158" s="22">
        <f>IF(I158="","",IF(I158&gt;=$N$3,"Yes","No"))</f>
        <v/>
      </c>
    </row>
    <row r="159">
      <c r="A159" s="18" t="n"/>
      <c r="B159" s="19" t="n"/>
      <c r="C159" s="19" t="n"/>
      <c r="D159" s="19" t="n"/>
      <c r="E159" s="19" t="n"/>
      <c r="F159" s="20">
        <f>IF(A159="","",SUM(B159:E159))</f>
        <v/>
      </c>
      <c r="G159" s="19" t="n"/>
      <c r="H159" s="20">
        <f>IF(OR(A159="",G159=""),"",G159-F159)</f>
        <v/>
      </c>
      <c r="I159" s="21">
        <f>IF(OR(A159="",G159="",G159=0),"",H159/G159)</f>
        <v/>
      </c>
      <c r="J159" s="18" t="n"/>
      <c r="K159" s="22">
        <f>IF(I159="","",IF(I159&gt;=$N$3,"Yes","No"))</f>
        <v/>
      </c>
    </row>
    <row r="160">
      <c r="A160" s="18" t="n"/>
      <c r="B160" s="19" t="n"/>
      <c r="C160" s="19" t="n"/>
      <c r="D160" s="19" t="n"/>
      <c r="E160" s="19" t="n"/>
      <c r="F160" s="20">
        <f>IF(A160="","",SUM(B160:E160))</f>
        <v/>
      </c>
      <c r="G160" s="19" t="n"/>
      <c r="H160" s="20">
        <f>IF(OR(A160="",G160=""),"",G160-F160)</f>
        <v/>
      </c>
      <c r="I160" s="21">
        <f>IF(OR(A160="",G160="",G160=0),"",H160/G160)</f>
        <v/>
      </c>
      <c r="J160" s="18" t="n"/>
      <c r="K160" s="22">
        <f>IF(I160="","",IF(I160&gt;=$N$3,"Yes","No"))</f>
        <v/>
      </c>
    </row>
    <row r="161">
      <c r="A161" s="18" t="n"/>
      <c r="B161" s="19" t="n"/>
      <c r="C161" s="19" t="n"/>
      <c r="D161" s="19" t="n"/>
      <c r="E161" s="19" t="n"/>
      <c r="F161" s="20">
        <f>IF(A161="","",SUM(B161:E161))</f>
        <v/>
      </c>
      <c r="G161" s="19" t="n"/>
      <c r="H161" s="20">
        <f>IF(OR(A161="",G161=""),"",G161-F161)</f>
        <v/>
      </c>
      <c r="I161" s="21">
        <f>IF(OR(A161="",G161="",G161=0),"",H161/G161)</f>
        <v/>
      </c>
      <c r="J161" s="18" t="n"/>
      <c r="K161" s="22">
        <f>IF(I161="","",IF(I161&gt;=$N$3,"Yes","No"))</f>
        <v/>
      </c>
    </row>
    <row r="162">
      <c r="A162" s="18" t="n"/>
      <c r="B162" s="19" t="n"/>
      <c r="C162" s="19" t="n"/>
      <c r="D162" s="19" t="n"/>
      <c r="E162" s="19" t="n"/>
      <c r="F162" s="20">
        <f>IF(A162="","",SUM(B162:E162))</f>
        <v/>
      </c>
      <c r="G162" s="19" t="n"/>
      <c r="H162" s="20">
        <f>IF(OR(A162="",G162=""),"",G162-F162)</f>
        <v/>
      </c>
      <c r="I162" s="21">
        <f>IF(OR(A162="",G162="",G162=0),"",H162/G162)</f>
        <v/>
      </c>
      <c r="J162" s="18" t="n"/>
      <c r="K162" s="22">
        <f>IF(I162="","",IF(I162&gt;=$N$3,"Yes","No"))</f>
        <v/>
      </c>
    </row>
    <row r="163">
      <c r="A163" s="18" t="n"/>
      <c r="B163" s="19" t="n"/>
      <c r="C163" s="19" t="n"/>
      <c r="D163" s="19" t="n"/>
      <c r="E163" s="19" t="n"/>
      <c r="F163" s="20">
        <f>IF(A163="","",SUM(B163:E163))</f>
        <v/>
      </c>
      <c r="G163" s="19" t="n"/>
      <c r="H163" s="20">
        <f>IF(OR(A163="",G163=""),"",G163-F163)</f>
        <v/>
      </c>
      <c r="I163" s="21">
        <f>IF(OR(A163="",G163="",G163=0),"",H163/G163)</f>
        <v/>
      </c>
      <c r="J163" s="18" t="n"/>
      <c r="K163" s="22">
        <f>IF(I163="","",IF(I163&gt;=$N$3,"Yes","No"))</f>
        <v/>
      </c>
    </row>
    <row r="164">
      <c r="A164" s="18" t="n"/>
      <c r="B164" s="19" t="n"/>
      <c r="C164" s="19" t="n"/>
      <c r="D164" s="19" t="n"/>
      <c r="E164" s="19" t="n"/>
      <c r="F164" s="20">
        <f>IF(A164="","",SUM(B164:E164))</f>
        <v/>
      </c>
      <c r="G164" s="19" t="n"/>
      <c r="H164" s="20">
        <f>IF(OR(A164="",G164=""),"",G164-F164)</f>
        <v/>
      </c>
      <c r="I164" s="21">
        <f>IF(OR(A164="",G164="",G164=0),"",H164/G164)</f>
        <v/>
      </c>
      <c r="J164" s="18" t="n"/>
      <c r="K164" s="22">
        <f>IF(I164="","",IF(I164&gt;=$N$3,"Yes","No"))</f>
        <v/>
      </c>
    </row>
    <row r="165">
      <c r="A165" s="18" t="n"/>
      <c r="B165" s="19" t="n"/>
      <c r="C165" s="19" t="n"/>
      <c r="D165" s="19" t="n"/>
      <c r="E165" s="19" t="n"/>
      <c r="F165" s="20">
        <f>IF(A165="","",SUM(B165:E165))</f>
        <v/>
      </c>
      <c r="G165" s="19" t="n"/>
      <c r="H165" s="20">
        <f>IF(OR(A165="",G165=""),"",G165-F165)</f>
        <v/>
      </c>
      <c r="I165" s="21">
        <f>IF(OR(A165="",G165="",G165=0),"",H165/G165)</f>
        <v/>
      </c>
      <c r="J165" s="18" t="n"/>
      <c r="K165" s="22">
        <f>IF(I165="","",IF(I165&gt;=$N$3,"Yes","No"))</f>
        <v/>
      </c>
    </row>
    <row r="166">
      <c r="A166" s="18" t="n"/>
      <c r="B166" s="19" t="n"/>
      <c r="C166" s="19" t="n"/>
      <c r="D166" s="19" t="n"/>
      <c r="E166" s="19" t="n"/>
      <c r="F166" s="20">
        <f>IF(A166="","",SUM(B166:E166))</f>
        <v/>
      </c>
      <c r="G166" s="19" t="n"/>
      <c r="H166" s="20">
        <f>IF(OR(A166="",G166=""),"",G166-F166)</f>
        <v/>
      </c>
      <c r="I166" s="21">
        <f>IF(OR(A166="",G166="",G166=0),"",H166/G166)</f>
        <v/>
      </c>
      <c r="J166" s="18" t="n"/>
      <c r="K166" s="22">
        <f>IF(I166="","",IF(I166&gt;=$N$3,"Yes","No"))</f>
        <v/>
      </c>
    </row>
    <row r="167">
      <c r="A167" s="18" t="n"/>
      <c r="B167" s="19" t="n"/>
      <c r="C167" s="19" t="n"/>
      <c r="D167" s="19" t="n"/>
      <c r="E167" s="19" t="n"/>
      <c r="F167" s="20">
        <f>IF(A167="","",SUM(B167:E167))</f>
        <v/>
      </c>
      <c r="G167" s="19" t="n"/>
      <c r="H167" s="20">
        <f>IF(OR(A167="",G167=""),"",G167-F167)</f>
        <v/>
      </c>
      <c r="I167" s="21">
        <f>IF(OR(A167="",G167="",G167=0),"",H167/G167)</f>
        <v/>
      </c>
      <c r="J167" s="18" t="n"/>
      <c r="K167" s="22">
        <f>IF(I167="","",IF(I167&gt;=$N$3,"Yes","No"))</f>
        <v/>
      </c>
    </row>
    <row r="168">
      <c r="A168" s="18" t="n"/>
      <c r="B168" s="19" t="n"/>
      <c r="C168" s="19" t="n"/>
      <c r="D168" s="19" t="n"/>
      <c r="E168" s="19" t="n"/>
      <c r="F168" s="20">
        <f>IF(A168="","",SUM(B168:E168))</f>
        <v/>
      </c>
      <c r="G168" s="19" t="n"/>
      <c r="H168" s="20">
        <f>IF(OR(A168="",G168=""),"",G168-F168)</f>
        <v/>
      </c>
      <c r="I168" s="21">
        <f>IF(OR(A168="",G168="",G168=0),"",H168/G168)</f>
        <v/>
      </c>
      <c r="J168" s="18" t="n"/>
      <c r="K168" s="22">
        <f>IF(I168="","",IF(I168&gt;=$N$3,"Yes","No"))</f>
        <v/>
      </c>
    </row>
    <row r="169">
      <c r="A169" s="18" t="n"/>
      <c r="B169" s="19" t="n"/>
      <c r="C169" s="19" t="n"/>
      <c r="D169" s="19" t="n"/>
      <c r="E169" s="19" t="n"/>
      <c r="F169" s="20">
        <f>IF(A169="","",SUM(B169:E169))</f>
        <v/>
      </c>
      <c r="G169" s="19" t="n"/>
      <c r="H169" s="20">
        <f>IF(OR(A169="",G169=""),"",G169-F169)</f>
        <v/>
      </c>
      <c r="I169" s="21">
        <f>IF(OR(A169="",G169="",G169=0),"",H169/G169)</f>
        <v/>
      </c>
      <c r="J169" s="18" t="n"/>
      <c r="K169" s="22">
        <f>IF(I169="","",IF(I169&gt;=$N$3,"Yes","No"))</f>
        <v/>
      </c>
    </row>
    <row r="170">
      <c r="A170" s="18" t="n"/>
      <c r="B170" s="19" t="n"/>
      <c r="C170" s="19" t="n"/>
      <c r="D170" s="19" t="n"/>
      <c r="E170" s="19" t="n"/>
      <c r="F170" s="20">
        <f>IF(A170="","",SUM(B170:E170))</f>
        <v/>
      </c>
      <c r="G170" s="19" t="n"/>
      <c r="H170" s="20">
        <f>IF(OR(A170="",G170=""),"",G170-F170)</f>
        <v/>
      </c>
      <c r="I170" s="21">
        <f>IF(OR(A170="",G170="",G170=0),"",H170/G170)</f>
        <v/>
      </c>
      <c r="J170" s="18" t="n"/>
      <c r="K170" s="22">
        <f>IF(I170="","",IF(I170&gt;=$N$3,"Yes","No"))</f>
        <v/>
      </c>
    </row>
    <row r="171">
      <c r="A171" s="18" t="n"/>
      <c r="B171" s="19" t="n"/>
      <c r="C171" s="19" t="n"/>
      <c r="D171" s="19" t="n"/>
      <c r="E171" s="19" t="n"/>
      <c r="F171" s="20">
        <f>IF(A171="","",SUM(B171:E171))</f>
        <v/>
      </c>
      <c r="G171" s="19" t="n"/>
      <c r="H171" s="20">
        <f>IF(OR(A171="",G171=""),"",G171-F171)</f>
        <v/>
      </c>
      <c r="I171" s="21">
        <f>IF(OR(A171="",G171="",G171=0),"",H171/G171)</f>
        <v/>
      </c>
      <c r="J171" s="18" t="n"/>
      <c r="K171" s="22">
        <f>IF(I171="","",IF(I171&gt;=$N$3,"Yes","No"))</f>
        <v/>
      </c>
    </row>
    <row r="172">
      <c r="A172" s="18" t="n"/>
      <c r="B172" s="19" t="n"/>
      <c r="C172" s="19" t="n"/>
      <c r="D172" s="19" t="n"/>
      <c r="E172" s="19" t="n"/>
      <c r="F172" s="20">
        <f>IF(A172="","",SUM(B172:E172))</f>
        <v/>
      </c>
      <c r="G172" s="19" t="n"/>
      <c r="H172" s="20">
        <f>IF(OR(A172="",G172=""),"",G172-F172)</f>
        <v/>
      </c>
      <c r="I172" s="21">
        <f>IF(OR(A172="",G172="",G172=0),"",H172/G172)</f>
        <v/>
      </c>
      <c r="J172" s="18" t="n"/>
      <c r="K172" s="22">
        <f>IF(I172="","",IF(I172&gt;=$N$3,"Yes","No"))</f>
        <v/>
      </c>
    </row>
    <row r="173">
      <c r="A173" s="18" t="n"/>
      <c r="B173" s="19" t="n"/>
      <c r="C173" s="19" t="n"/>
      <c r="D173" s="19" t="n"/>
      <c r="E173" s="19" t="n"/>
      <c r="F173" s="20">
        <f>IF(A173="","",SUM(B173:E173))</f>
        <v/>
      </c>
      <c r="G173" s="19" t="n"/>
      <c r="H173" s="20">
        <f>IF(OR(A173="",G173=""),"",G173-F173)</f>
        <v/>
      </c>
      <c r="I173" s="21">
        <f>IF(OR(A173="",G173="",G173=0),"",H173/G173)</f>
        <v/>
      </c>
      <c r="J173" s="18" t="n"/>
      <c r="K173" s="22">
        <f>IF(I173="","",IF(I173&gt;=$N$3,"Yes","No"))</f>
        <v/>
      </c>
    </row>
    <row r="174">
      <c r="A174" s="18" t="n"/>
      <c r="B174" s="19" t="n"/>
      <c r="C174" s="19" t="n"/>
      <c r="D174" s="19" t="n"/>
      <c r="E174" s="19" t="n"/>
      <c r="F174" s="20">
        <f>IF(A174="","",SUM(B174:E174))</f>
        <v/>
      </c>
      <c r="G174" s="19" t="n"/>
      <c r="H174" s="20">
        <f>IF(OR(A174="",G174=""),"",G174-F174)</f>
        <v/>
      </c>
      <c r="I174" s="21">
        <f>IF(OR(A174="",G174="",G174=0),"",H174/G174)</f>
        <v/>
      </c>
      <c r="J174" s="18" t="n"/>
      <c r="K174" s="22">
        <f>IF(I174="","",IF(I174&gt;=$N$3,"Yes","No"))</f>
        <v/>
      </c>
    </row>
    <row r="175">
      <c r="A175" s="18" t="n"/>
      <c r="B175" s="19" t="n"/>
      <c r="C175" s="19" t="n"/>
      <c r="D175" s="19" t="n"/>
      <c r="E175" s="19" t="n"/>
      <c r="F175" s="20">
        <f>IF(A175="","",SUM(B175:E175))</f>
        <v/>
      </c>
      <c r="G175" s="19" t="n"/>
      <c r="H175" s="20">
        <f>IF(OR(A175="",G175=""),"",G175-F175)</f>
        <v/>
      </c>
      <c r="I175" s="21">
        <f>IF(OR(A175="",G175="",G175=0),"",H175/G175)</f>
        <v/>
      </c>
      <c r="J175" s="18" t="n"/>
      <c r="K175" s="22">
        <f>IF(I175="","",IF(I175&gt;=$N$3,"Yes","No"))</f>
        <v/>
      </c>
    </row>
    <row r="176">
      <c r="A176" s="18" t="n"/>
      <c r="B176" s="19" t="n"/>
      <c r="C176" s="19" t="n"/>
      <c r="D176" s="19" t="n"/>
      <c r="E176" s="19" t="n"/>
      <c r="F176" s="20">
        <f>IF(A176="","",SUM(B176:E176))</f>
        <v/>
      </c>
      <c r="G176" s="19" t="n"/>
      <c r="H176" s="20">
        <f>IF(OR(A176="",G176=""),"",G176-F176)</f>
        <v/>
      </c>
      <c r="I176" s="21">
        <f>IF(OR(A176="",G176="",G176=0),"",H176/G176)</f>
        <v/>
      </c>
      <c r="J176" s="18" t="n"/>
      <c r="K176" s="22">
        <f>IF(I176="","",IF(I176&gt;=$N$3,"Yes","No"))</f>
        <v/>
      </c>
    </row>
    <row r="177">
      <c r="A177" s="18" t="n"/>
      <c r="B177" s="19" t="n"/>
      <c r="C177" s="19" t="n"/>
      <c r="D177" s="19" t="n"/>
      <c r="E177" s="19" t="n"/>
      <c r="F177" s="20">
        <f>IF(A177="","",SUM(B177:E177))</f>
        <v/>
      </c>
      <c r="G177" s="19" t="n"/>
      <c r="H177" s="20">
        <f>IF(OR(A177="",G177=""),"",G177-F177)</f>
        <v/>
      </c>
      <c r="I177" s="21">
        <f>IF(OR(A177="",G177="",G177=0),"",H177/G177)</f>
        <v/>
      </c>
      <c r="J177" s="18" t="n"/>
      <c r="K177" s="22">
        <f>IF(I177="","",IF(I177&gt;=$N$3,"Yes","No"))</f>
        <v/>
      </c>
    </row>
    <row r="178">
      <c r="A178" s="18" t="n"/>
      <c r="B178" s="19" t="n"/>
      <c r="C178" s="19" t="n"/>
      <c r="D178" s="19" t="n"/>
      <c r="E178" s="19" t="n"/>
      <c r="F178" s="20">
        <f>IF(A178="","",SUM(B178:E178))</f>
        <v/>
      </c>
      <c r="G178" s="19" t="n"/>
      <c r="H178" s="20">
        <f>IF(OR(A178="",G178=""),"",G178-F178)</f>
        <v/>
      </c>
      <c r="I178" s="21">
        <f>IF(OR(A178="",G178="",G178=0),"",H178/G178)</f>
        <v/>
      </c>
      <c r="J178" s="18" t="n"/>
      <c r="K178" s="22">
        <f>IF(I178="","",IF(I178&gt;=$N$3,"Yes","No"))</f>
        <v/>
      </c>
    </row>
    <row r="179">
      <c r="A179" s="18" t="n"/>
      <c r="B179" s="19" t="n"/>
      <c r="C179" s="19" t="n"/>
      <c r="D179" s="19" t="n"/>
      <c r="E179" s="19" t="n"/>
      <c r="F179" s="20">
        <f>IF(A179="","",SUM(B179:E179))</f>
        <v/>
      </c>
      <c r="G179" s="19" t="n"/>
      <c r="H179" s="20">
        <f>IF(OR(A179="",G179=""),"",G179-F179)</f>
        <v/>
      </c>
      <c r="I179" s="21">
        <f>IF(OR(A179="",G179="",G179=0),"",H179/G179)</f>
        <v/>
      </c>
      <c r="J179" s="18" t="n"/>
      <c r="K179" s="22">
        <f>IF(I179="","",IF(I179&gt;=$N$3,"Yes","No"))</f>
        <v/>
      </c>
    </row>
    <row r="180">
      <c r="A180" s="18" t="n"/>
      <c r="B180" s="19" t="n"/>
      <c r="C180" s="19" t="n"/>
      <c r="D180" s="19" t="n"/>
      <c r="E180" s="19" t="n"/>
      <c r="F180" s="20">
        <f>IF(A180="","",SUM(B180:E180))</f>
        <v/>
      </c>
      <c r="G180" s="19" t="n"/>
      <c r="H180" s="20">
        <f>IF(OR(A180="",G180=""),"",G180-F180)</f>
        <v/>
      </c>
      <c r="I180" s="21">
        <f>IF(OR(A180="",G180="",G180=0),"",H180/G180)</f>
        <v/>
      </c>
      <c r="J180" s="18" t="n"/>
      <c r="K180" s="22">
        <f>IF(I180="","",IF(I180&gt;=$N$3,"Yes","No"))</f>
        <v/>
      </c>
    </row>
    <row r="181">
      <c r="A181" s="18" t="n"/>
      <c r="B181" s="19" t="n"/>
      <c r="C181" s="19" t="n"/>
      <c r="D181" s="19" t="n"/>
      <c r="E181" s="19" t="n"/>
      <c r="F181" s="20">
        <f>IF(A181="","",SUM(B181:E181))</f>
        <v/>
      </c>
      <c r="G181" s="19" t="n"/>
      <c r="H181" s="20">
        <f>IF(OR(A181="",G181=""),"",G181-F181)</f>
        <v/>
      </c>
      <c r="I181" s="21">
        <f>IF(OR(A181="",G181="",G181=0),"",H181/G181)</f>
        <v/>
      </c>
      <c r="J181" s="18" t="n"/>
      <c r="K181" s="22">
        <f>IF(I181="","",IF(I181&gt;=$N$3,"Yes","No"))</f>
        <v/>
      </c>
    </row>
    <row r="182">
      <c r="A182" s="18" t="n"/>
      <c r="B182" s="19" t="n"/>
      <c r="C182" s="19" t="n"/>
      <c r="D182" s="19" t="n"/>
      <c r="E182" s="19" t="n"/>
      <c r="F182" s="20">
        <f>IF(A182="","",SUM(B182:E182))</f>
        <v/>
      </c>
      <c r="G182" s="19" t="n"/>
      <c r="H182" s="20">
        <f>IF(OR(A182="",G182=""),"",G182-F182)</f>
        <v/>
      </c>
      <c r="I182" s="21">
        <f>IF(OR(A182="",G182="",G182=0),"",H182/G182)</f>
        <v/>
      </c>
      <c r="J182" s="18" t="n"/>
      <c r="K182" s="22">
        <f>IF(I182="","",IF(I182&gt;=$N$3,"Yes","No"))</f>
        <v/>
      </c>
    </row>
    <row r="183">
      <c r="A183" s="18" t="n"/>
      <c r="B183" s="19" t="n"/>
      <c r="C183" s="19" t="n"/>
      <c r="D183" s="19" t="n"/>
      <c r="E183" s="19" t="n"/>
      <c r="F183" s="20">
        <f>IF(A183="","",SUM(B183:E183))</f>
        <v/>
      </c>
      <c r="G183" s="19" t="n"/>
      <c r="H183" s="20">
        <f>IF(OR(A183="",G183=""),"",G183-F183)</f>
        <v/>
      </c>
      <c r="I183" s="21">
        <f>IF(OR(A183="",G183="",G183=0),"",H183/G183)</f>
        <v/>
      </c>
      <c r="J183" s="18" t="n"/>
      <c r="K183" s="22">
        <f>IF(I183="","",IF(I183&gt;=$N$3,"Yes","No"))</f>
        <v/>
      </c>
    </row>
    <row r="184">
      <c r="A184" s="18" t="n"/>
      <c r="B184" s="19" t="n"/>
      <c r="C184" s="19" t="n"/>
      <c r="D184" s="19" t="n"/>
      <c r="E184" s="19" t="n"/>
      <c r="F184" s="20">
        <f>IF(A184="","",SUM(B184:E184))</f>
        <v/>
      </c>
      <c r="G184" s="19" t="n"/>
      <c r="H184" s="20">
        <f>IF(OR(A184="",G184=""),"",G184-F184)</f>
        <v/>
      </c>
      <c r="I184" s="21">
        <f>IF(OR(A184="",G184="",G184=0),"",H184/G184)</f>
        <v/>
      </c>
      <c r="J184" s="18" t="n"/>
      <c r="K184" s="22">
        <f>IF(I184="","",IF(I184&gt;=$N$3,"Yes","No"))</f>
        <v/>
      </c>
    </row>
    <row r="185">
      <c r="A185" s="18" t="n"/>
      <c r="B185" s="19" t="n"/>
      <c r="C185" s="19" t="n"/>
      <c r="D185" s="19" t="n"/>
      <c r="E185" s="19" t="n"/>
      <c r="F185" s="20">
        <f>IF(A185="","",SUM(B185:E185))</f>
        <v/>
      </c>
      <c r="G185" s="19" t="n"/>
      <c r="H185" s="20">
        <f>IF(OR(A185="",G185=""),"",G185-F185)</f>
        <v/>
      </c>
      <c r="I185" s="21">
        <f>IF(OR(A185="",G185="",G185=0),"",H185/G185)</f>
        <v/>
      </c>
      <c r="J185" s="18" t="n"/>
      <c r="K185" s="22">
        <f>IF(I185="","",IF(I185&gt;=$N$3,"Yes","No"))</f>
        <v/>
      </c>
    </row>
    <row r="186">
      <c r="A186" s="18" t="n"/>
      <c r="B186" s="19" t="n"/>
      <c r="C186" s="19" t="n"/>
      <c r="D186" s="19" t="n"/>
      <c r="E186" s="19" t="n"/>
      <c r="F186" s="20">
        <f>IF(A186="","",SUM(B186:E186))</f>
        <v/>
      </c>
      <c r="G186" s="19" t="n"/>
      <c r="H186" s="20">
        <f>IF(OR(A186="",G186=""),"",G186-F186)</f>
        <v/>
      </c>
      <c r="I186" s="21">
        <f>IF(OR(A186="",G186="",G186=0),"",H186/G186)</f>
        <v/>
      </c>
      <c r="J186" s="18" t="n"/>
      <c r="K186" s="22">
        <f>IF(I186="","",IF(I186&gt;=$N$3,"Yes","No"))</f>
        <v/>
      </c>
    </row>
    <row r="187">
      <c r="A187" s="18" t="n"/>
      <c r="B187" s="19" t="n"/>
      <c r="C187" s="19" t="n"/>
      <c r="D187" s="19" t="n"/>
      <c r="E187" s="19" t="n"/>
      <c r="F187" s="20">
        <f>IF(A187="","",SUM(B187:E187))</f>
        <v/>
      </c>
      <c r="G187" s="19" t="n"/>
      <c r="H187" s="20">
        <f>IF(OR(A187="",G187=""),"",G187-F187)</f>
        <v/>
      </c>
      <c r="I187" s="21">
        <f>IF(OR(A187="",G187="",G187=0),"",H187/G187)</f>
        <v/>
      </c>
      <c r="J187" s="18" t="n"/>
      <c r="K187" s="22">
        <f>IF(I187="","",IF(I187&gt;=$N$3,"Yes","No"))</f>
        <v/>
      </c>
    </row>
    <row r="188">
      <c r="A188" s="18" t="n"/>
      <c r="B188" s="19" t="n"/>
      <c r="C188" s="19" t="n"/>
      <c r="D188" s="19" t="n"/>
      <c r="E188" s="19" t="n"/>
      <c r="F188" s="20">
        <f>IF(A188="","",SUM(B188:E188))</f>
        <v/>
      </c>
      <c r="G188" s="19" t="n"/>
      <c r="H188" s="20">
        <f>IF(OR(A188="",G188=""),"",G188-F188)</f>
        <v/>
      </c>
      <c r="I188" s="21">
        <f>IF(OR(A188="",G188="",G188=0),"",H188/G188)</f>
        <v/>
      </c>
      <c r="J188" s="18" t="n"/>
      <c r="K188" s="22">
        <f>IF(I188="","",IF(I188&gt;=$N$3,"Yes","No"))</f>
        <v/>
      </c>
    </row>
    <row r="189">
      <c r="A189" s="18" t="n"/>
      <c r="B189" s="19" t="n"/>
      <c r="C189" s="19" t="n"/>
      <c r="D189" s="19" t="n"/>
      <c r="E189" s="19" t="n"/>
      <c r="F189" s="20">
        <f>IF(A189="","",SUM(B189:E189))</f>
        <v/>
      </c>
      <c r="G189" s="19" t="n"/>
      <c r="H189" s="20">
        <f>IF(OR(A189="",G189=""),"",G189-F189)</f>
        <v/>
      </c>
      <c r="I189" s="21">
        <f>IF(OR(A189="",G189="",G189=0),"",H189/G189)</f>
        <v/>
      </c>
      <c r="J189" s="18" t="n"/>
      <c r="K189" s="22">
        <f>IF(I189="","",IF(I189&gt;=$N$3,"Yes","No"))</f>
        <v/>
      </c>
    </row>
    <row r="190">
      <c r="A190" s="18" t="n"/>
      <c r="B190" s="19" t="n"/>
      <c r="C190" s="19" t="n"/>
      <c r="D190" s="19" t="n"/>
      <c r="E190" s="19" t="n"/>
      <c r="F190" s="20">
        <f>IF(A190="","",SUM(B190:E190))</f>
        <v/>
      </c>
      <c r="G190" s="19" t="n"/>
      <c r="H190" s="20">
        <f>IF(OR(A190="",G190=""),"",G190-F190)</f>
        <v/>
      </c>
      <c r="I190" s="21">
        <f>IF(OR(A190="",G190="",G190=0),"",H190/G190)</f>
        <v/>
      </c>
      <c r="J190" s="18" t="n"/>
      <c r="K190" s="22">
        <f>IF(I190="","",IF(I190&gt;=$N$3,"Yes","No"))</f>
        <v/>
      </c>
    </row>
    <row r="191">
      <c r="A191" s="18" t="n"/>
      <c r="B191" s="19" t="n"/>
      <c r="C191" s="19" t="n"/>
      <c r="D191" s="19" t="n"/>
      <c r="E191" s="19" t="n"/>
      <c r="F191" s="20">
        <f>IF(A191="","",SUM(B191:E191))</f>
        <v/>
      </c>
      <c r="G191" s="19" t="n"/>
      <c r="H191" s="20">
        <f>IF(OR(A191="",G191=""),"",G191-F191)</f>
        <v/>
      </c>
      <c r="I191" s="21">
        <f>IF(OR(A191="",G191="",G191=0),"",H191/G191)</f>
        <v/>
      </c>
      <c r="J191" s="18" t="n"/>
      <c r="K191" s="22">
        <f>IF(I191="","",IF(I191&gt;=$N$3,"Yes","No"))</f>
        <v/>
      </c>
    </row>
    <row r="192">
      <c r="A192" s="18" t="n"/>
      <c r="B192" s="19" t="n"/>
      <c r="C192" s="19" t="n"/>
      <c r="D192" s="19" t="n"/>
      <c r="E192" s="19" t="n"/>
      <c r="F192" s="20">
        <f>IF(A192="","",SUM(B192:E192))</f>
        <v/>
      </c>
      <c r="G192" s="19" t="n"/>
      <c r="H192" s="20">
        <f>IF(OR(A192="",G192=""),"",G192-F192)</f>
        <v/>
      </c>
      <c r="I192" s="21">
        <f>IF(OR(A192="",G192="",G192=0),"",H192/G192)</f>
        <v/>
      </c>
      <c r="J192" s="18" t="n"/>
      <c r="K192" s="22">
        <f>IF(I192="","",IF(I192&gt;=$N$3,"Yes","No"))</f>
        <v/>
      </c>
    </row>
    <row r="193">
      <c r="A193" s="18" t="n"/>
      <c r="B193" s="19" t="n"/>
      <c r="C193" s="19" t="n"/>
      <c r="D193" s="19" t="n"/>
      <c r="E193" s="19" t="n"/>
      <c r="F193" s="20">
        <f>IF(A193="","",SUM(B193:E193))</f>
        <v/>
      </c>
      <c r="G193" s="19" t="n"/>
      <c r="H193" s="20">
        <f>IF(OR(A193="",G193=""),"",G193-F193)</f>
        <v/>
      </c>
      <c r="I193" s="21">
        <f>IF(OR(A193="",G193="",G193=0),"",H193/G193)</f>
        <v/>
      </c>
      <c r="J193" s="18" t="n"/>
      <c r="K193" s="22">
        <f>IF(I193="","",IF(I193&gt;=$N$3,"Yes","No"))</f>
        <v/>
      </c>
    </row>
    <row r="194">
      <c r="A194" s="18" t="n"/>
      <c r="B194" s="19" t="n"/>
      <c r="C194" s="19" t="n"/>
      <c r="D194" s="19" t="n"/>
      <c r="E194" s="19" t="n"/>
      <c r="F194" s="20">
        <f>IF(A194="","",SUM(B194:E194))</f>
        <v/>
      </c>
      <c r="G194" s="19" t="n"/>
      <c r="H194" s="20">
        <f>IF(OR(A194="",G194=""),"",G194-F194)</f>
        <v/>
      </c>
      <c r="I194" s="21">
        <f>IF(OR(A194="",G194="",G194=0),"",H194/G194)</f>
        <v/>
      </c>
      <c r="J194" s="18" t="n"/>
      <c r="K194" s="22">
        <f>IF(I194="","",IF(I194&gt;=$N$3,"Yes","No"))</f>
        <v/>
      </c>
    </row>
    <row r="195">
      <c r="A195" s="18" t="n"/>
      <c r="B195" s="19" t="n"/>
      <c r="C195" s="19" t="n"/>
      <c r="D195" s="19" t="n"/>
      <c r="E195" s="19" t="n"/>
      <c r="F195" s="20">
        <f>IF(A195="","",SUM(B195:E195))</f>
        <v/>
      </c>
      <c r="G195" s="19" t="n"/>
      <c r="H195" s="20">
        <f>IF(OR(A195="",G195=""),"",G195-F195)</f>
        <v/>
      </c>
      <c r="I195" s="21">
        <f>IF(OR(A195="",G195="",G195=0),"",H195/G195)</f>
        <v/>
      </c>
      <c r="J195" s="18" t="n"/>
      <c r="K195" s="22">
        <f>IF(I195="","",IF(I195&gt;=$N$3,"Yes","No"))</f>
        <v/>
      </c>
    </row>
    <row r="196">
      <c r="A196" s="18" t="n"/>
      <c r="B196" s="19" t="n"/>
      <c r="C196" s="19" t="n"/>
      <c r="D196" s="19" t="n"/>
      <c r="E196" s="19" t="n"/>
      <c r="F196" s="20">
        <f>IF(A196="","",SUM(B196:E196))</f>
        <v/>
      </c>
      <c r="G196" s="19" t="n"/>
      <c r="H196" s="20">
        <f>IF(OR(A196="",G196=""),"",G196-F196)</f>
        <v/>
      </c>
      <c r="I196" s="21">
        <f>IF(OR(A196="",G196="",G196=0),"",H196/G196)</f>
        <v/>
      </c>
      <c r="J196" s="18" t="n"/>
      <c r="K196" s="22">
        <f>IF(I196="","",IF(I196&gt;=$N$3,"Yes","No"))</f>
        <v/>
      </c>
    </row>
    <row r="197">
      <c r="A197" s="18" t="n"/>
      <c r="B197" s="19" t="n"/>
      <c r="C197" s="19" t="n"/>
      <c r="D197" s="19" t="n"/>
      <c r="E197" s="19" t="n"/>
      <c r="F197" s="20">
        <f>IF(A197="","",SUM(B197:E197))</f>
        <v/>
      </c>
      <c r="G197" s="19" t="n"/>
      <c r="H197" s="20">
        <f>IF(OR(A197="",G197=""),"",G197-F197)</f>
        <v/>
      </c>
      <c r="I197" s="21">
        <f>IF(OR(A197="",G197="",G197=0),"",H197/G197)</f>
        <v/>
      </c>
      <c r="J197" s="18" t="n"/>
      <c r="K197" s="22">
        <f>IF(I197="","",IF(I197&gt;=$N$3,"Yes","No"))</f>
        <v/>
      </c>
    </row>
    <row r="198">
      <c r="A198" s="18" t="n"/>
      <c r="B198" s="19" t="n"/>
      <c r="C198" s="19" t="n"/>
      <c r="D198" s="19" t="n"/>
      <c r="E198" s="19" t="n"/>
      <c r="F198" s="20">
        <f>IF(A198="","",SUM(B198:E198))</f>
        <v/>
      </c>
      <c r="G198" s="19" t="n"/>
      <c r="H198" s="20">
        <f>IF(OR(A198="",G198=""),"",G198-F198)</f>
        <v/>
      </c>
      <c r="I198" s="21">
        <f>IF(OR(A198="",G198="",G198=0),"",H198/G198)</f>
        <v/>
      </c>
      <c r="J198" s="18" t="n"/>
      <c r="K198" s="22">
        <f>IF(I198="","",IF(I198&gt;=$N$3,"Yes","No"))</f>
        <v/>
      </c>
    </row>
    <row r="199">
      <c r="A199" s="18" t="n"/>
      <c r="B199" s="19" t="n"/>
      <c r="C199" s="19" t="n"/>
      <c r="D199" s="19" t="n"/>
      <c r="E199" s="19" t="n"/>
      <c r="F199" s="20">
        <f>IF(A199="","",SUM(B199:E199))</f>
        <v/>
      </c>
      <c r="G199" s="19" t="n"/>
      <c r="H199" s="20">
        <f>IF(OR(A199="",G199=""),"",G199-F199)</f>
        <v/>
      </c>
      <c r="I199" s="21">
        <f>IF(OR(A199="",G199="",G199=0),"",H199/G199)</f>
        <v/>
      </c>
      <c r="J199" s="18" t="n"/>
      <c r="K199" s="22">
        <f>IF(I199="","",IF(I199&gt;=$N$3,"Yes","No"))</f>
        <v/>
      </c>
    </row>
    <row r="200">
      <c r="A200" s="18" t="n"/>
      <c r="B200" s="19" t="n"/>
      <c r="C200" s="19" t="n"/>
      <c r="D200" s="19" t="n"/>
      <c r="E200" s="19" t="n"/>
      <c r="F200" s="20">
        <f>IF(A200="","",SUM(B200:E200))</f>
        <v/>
      </c>
      <c r="G200" s="19" t="n"/>
      <c r="H200" s="20">
        <f>IF(OR(A200="",G200=""),"",G200-F200)</f>
        <v/>
      </c>
      <c r="I200" s="21">
        <f>IF(OR(A200="",G200="",G200=0),"",H200/G200)</f>
        <v/>
      </c>
      <c r="J200" s="18" t="n"/>
      <c r="K200" s="22">
        <f>IF(I200="","",IF(I200&gt;=$N$3,"Yes","No"))</f>
        <v/>
      </c>
    </row>
    <row r="201">
      <c r="A201" s="18" t="n"/>
      <c r="B201" s="19" t="n"/>
      <c r="C201" s="19" t="n"/>
      <c r="D201" s="19" t="n"/>
      <c r="E201" s="19" t="n"/>
      <c r="F201" s="20">
        <f>IF(A201="","",SUM(B201:E201))</f>
        <v/>
      </c>
      <c r="G201" s="19" t="n"/>
      <c r="H201" s="20">
        <f>IF(OR(A201="",G201=""),"",G201-F201)</f>
        <v/>
      </c>
      <c r="I201" s="21">
        <f>IF(OR(A201="",G201="",G201=0),"",H201/G201)</f>
        <v/>
      </c>
      <c r="J201" s="18" t="n"/>
      <c r="K201" s="22">
        <f>IF(I201="","",IF(I201&gt;=$N$3,"Yes","No"))</f>
        <v/>
      </c>
    </row>
    <row r="202">
      <c r="A202" s="18" t="n"/>
      <c r="B202" s="19" t="n"/>
      <c r="C202" s="19" t="n"/>
      <c r="D202" s="19" t="n"/>
      <c r="E202" s="19" t="n"/>
      <c r="F202" s="20">
        <f>IF(A202="","",SUM(B202:E202))</f>
        <v/>
      </c>
      <c r="G202" s="19" t="n"/>
      <c r="H202" s="20">
        <f>IF(OR(A202="",G202=""),"",G202-F202)</f>
        <v/>
      </c>
      <c r="I202" s="21">
        <f>IF(OR(A202="",G202="",G202=0),"",H202/G202)</f>
        <v/>
      </c>
      <c r="J202" s="18" t="n"/>
      <c r="K202" s="22">
        <f>IF(I202="","",IF(I202&gt;=$N$3,"Yes","No"))</f>
        <v/>
      </c>
    </row>
    <row r="203">
      <c r="A203" s="18" t="n"/>
      <c r="B203" s="19" t="n"/>
      <c r="C203" s="19" t="n"/>
      <c r="D203" s="19" t="n"/>
      <c r="E203" s="19" t="n"/>
      <c r="F203" s="20">
        <f>IF(A203="","",SUM(B203:E203))</f>
        <v/>
      </c>
      <c r="G203" s="19" t="n"/>
      <c r="H203" s="20">
        <f>IF(OR(A203="",G203=""),"",G203-F203)</f>
        <v/>
      </c>
      <c r="I203" s="21">
        <f>IF(OR(A203="",G203="",G203=0),"",H203/G203)</f>
        <v/>
      </c>
      <c r="J203" s="18" t="n"/>
      <c r="K203" s="22">
        <f>IF(I203="","",IF(I203&gt;=$N$3,"Yes","No"))</f>
        <v/>
      </c>
    </row>
    <row r="204">
      <c r="A204" s="18" t="n"/>
      <c r="B204" s="19" t="n"/>
      <c r="C204" s="19" t="n"/>
      <c r="D204" s="19" t="n"/>
      <c r="E204" s="19" t="n"/>
      <c r="F204" s="20">
        <f>IF(A204="","",SUM(B204:E204))</f>
        <v/>
      </c>
      <c r="G204" s="19" t="n"/>
      <c r="H204" s="20">
        <f>IF(OR(A204="",G204=""),"",G204-F204)</f>
        <v/>
      </c>
      <c r="I204" s="21">
        <f>IF(OR(A204="",G204="",G204=0),"",H204/G204)</f>
        <v/>
      </c>
      <c r="J204" s="18" t="n"/>
      <c r="K204" s="22">
        <f>IF(I204="","",IF(I204&gt;=$N$3,"Yes","No"))</f>
        <v/>
      </c>
    </row>
    <row r="205">
      <c r="A205" s="18" t="n"/>
      <c r="B205" s="19" t="n"/>
      <c r="C205" s="19" t="n"/>
      <c r="D205" s="19" t="n"/>
      <c r="E205" s="19" t="n"/>
      <c r="F205" s="20">
        <f>IF(A205="","",SUM(B205:E205))</f>
        <v/>
      </c>
      <c r="G205" s="19" t="n"/>
      <c r="H205" s="20">
        <f>IF(OR(A205="",G205=""),"",G205-F205)</f>
        <v/>
      </c>
      <c r="I205" s="21">
        <f>IF(OR(A205="",G205="",G205=0),"",H205/G205)</f>
        <v/>
      </c>
      <c r="J205" s="18" t="n"/>
      <c r="K205" s="22">
        <f>IF(I205="","",IF(I205&gt;=$N$3,"Yes","No"))</f>
        <v/>
      </c>
    </row>
    <row r="206">
      <c r="A206" s="18" t="n"/>
      <c r="B206" s="19" t="n"/>
      <c r="C206" s="19" t="n"/>
      <c r="D206" s="19" t="n"/>
      <c r="E206" s="19" t="n"/>
      <c r="F206" s="20">
        <f>IF(A206="","",SUM(B206:E206))</f>
        <v/>
      </c>
      <c r="G206" s="19" t="n"/>
      <c r="H206" s="20">
        <f>IF(OR(A206="",G206=""),"",G206-F206)</f>
        <v/>
      </c>
      <c r="I206" s="21">
        <f>IF(OR(A206="",G206="",G206=0),"",H206/G206)</f>
        <v/>
      </c>
      <c r="J206" s="18" t="n"/>
      <c r="K206" s="22">
        <f>IF(I206="","",IF(I206&gt;=$N$3,"Yes","No"))</f>
        <v/>
      </c>
    </row>
    <row r="207">
      <c r="A207" s="18" t="n"/>
      <c r="B207" s="19" t="n"/>
      <c r="C207" s="19" t="n"/>
      <c r="D207" s="19" t="n"/>
      <c r="E207" s="19" t="n"/>
      <c r="F207" s="20">
        <f>IF(A207="","",SUM(B207:E207))</f>
        <v/>
      </c>
      <c r="G207" s="19" t="n"/>
      <c r="H207" s="20">
        <f>IF(OR(A207="",G207=""),"",G207-F207)</f>
        <v/>
      </c>
      <c r="I207" s="21">
        <f>IF(OR(A207="",G207="",G207=0),"",H207/G207)</f>
        <v/>
      </c>
      <c r="J207" s="18" t="n"/>
      <c r="K207" s="22">
        <f>IF(I207="","",IF(I207&gt;=$N$3,"Yes","No"))</f>
        <v/>
      </c>
    </row>
    <row r="208">
      <c r="A208" s="18" t="n"/>
      <c r="B208" s="19" t="n"/>
      <c r="C208" s="19" t="n"/>
      <c r="D208" s="19" t="n"/>
      <c r="E208" s="19" t="n"/>
      <c r="F208" s="20">
        <f>IF(A208="","",SUM(B208:E208))</f>
        <v/>
      </c>
      <c r="G208" s="19" t="n"/>
      <c r="H208" s="20">
        <f>IF(OR(A208="",G208=""),"",G208-F208)</f>
        <v/>
      </c>
      <c r="I208" s="21">
        <f>IF(OR(A208="",G208="",G208=0),"",H208/G208)</f>
        <v/>
      </c>
      <c r="J208" s="18" t="n"/>
      <c r="K208" s="22">
        <f>IF(I208="","",IF(I208&gt;=$N$3,"Yes","No"))</f>
        <v/>
      </c>
    </row>
    <row r="209">
      <c r="A209" s="18" t="n"/>
      <c r="B209" s="19" t="n"/>
      <c r="C209" s="19" t="n"/>
      <c r="D209" s="19" t="n"/>
      <c r="E209" s="19" t="n"/>
      <c r="F209" s="20">
        <f>IF(A209="","",SUM(B209:E209))</f>
        <v/>
      </c>
      <c r="G209" s="19" t="n"/>
      <c r="H209" s="20">
        <f>IF(OR(A209="",G209=""),"",G209-F209)</f>
        <v/>
      </c>
      <c r="I209" s="21">
        <f>IF(OR(A209="",G209="",G209=0),"",H209/G209)</f>
        <v/>
      </c>
      <c r="J209" s="18" t="n"/>
      <c r="K209" s="22">
        <f>IF(I209="","",IF(I209&gt;=$N$3,"Yes","No"))</f>
        <v/>
      </c>
    </row>
    <row r="210">
      <c r="A210" s="18" t="n"/>
      <c r="B210" s="19" t="n"/>
      <c r="C210" s="19" t="n"/>
      <c r="D210" s="19" t="n"/>
      <c r="E210" s="19" t="n"/>
      <c r="F210" s="20">
        <f>IF(A210="","",SUM(B210:E210))</f>
        <v/>
      </c>
      <c r="G210" s="19" t="n"/>
      <c r="H210" s="20">
        <f>IF(OR(A210="",G210=""),"",G210-F210)</f>
        <v/>
      </c>
      <c r="I210" s="21">
        <f>IF(OR(A210="",G210="",G210=0),"",H210/G210)</f>
        <v/>
      </c>
      <c r="J210" s="18" t="n"/>
      <c r="K210" s="22">
        <f>IF(I210="","",IF(I210&gt;=$N$3,"Yes","No"))</f>
        <v/>
      </c>
    </row>
    <row r="211">
      <c r="A211" s="18" t="n"/>
      <c r="B211" s="19" t="n"/>
      <c r="C211" s="19" t="n"/>
      <c r="D211" s="19" t="n"/>
      <c r="E211" s="19" t="n"/>
      <c r="F211" s="20">
        <f>IF(A211="","",SUM(B211:E211))</f>
        <v/>
      </c>
      <c r="G211" s="19" t="n"/>
      <c r="H211" s="20">
        <f>IF(OR(A211="",G211=""),"",G211-F211)</f>
        <v/>
      </c>
      <c r="I211" s="21">
        <f>IF(OR(A211="",G211="",G211=0),"",H211/G211)</f>
        <v/>
      </c>
      <c r="J211" s="18" t="n"/>
      <c r="K211" s="22">
        <f>IF(I211="","",IF(I211&gt;=$N$3,"Yes","No"))</f>
        <v/>
      </c>
    </row>
    <row r="212">
      <c r="A212" s="18" t="n"/>
      <c r="B212" s="19" t="n"/>
      <c r="C212" s="19" t="n"/>
      <c r="D212" s="19" t="n"/>
      <c r="E212" s="19" t="n"/>
      <c r="F212" s="20">
        <f>IF(A212="","",SUM(B212:E212))</f>
        <v/>
      </c>
      <c r="G212" s="19" t="n"/>
      <c r="H212" s="20">
        <f>IF(OR(A212="",G212=""),"",G212-F212)</f>
        <v/>
      </c>
      <c r="I212" s="21">
        <f>IF(OR(A212="",G212="",G212=0),"",H212/G212)</f>
        <v/>
      </c>
      <c r="J212" s="18" t="n"/>
      <c r="K212" s="22">
        <f>IF(I212="","",IF(I212&gt;=$N$3,"Yes","No"))</f>
        <v/>
      </c>
    </row>
    <row r="213">
      <c r="A213" s="18" t="n"/>
      <c r="B213" s="19" t="n"/>
      <c r="C213" s="19" t="n"/>
      <c r="D213" s="19" t="n"/>
      <c r="E213" s="19" t="n"/>
      <c r="F213" s="20">
        <f>IF(A213="","",SUM(B213:E213))</f>
        <v/>
      </c>
      <c r="G213" s="19" t="n"/>
      <c r="H213" s="20">
        <f>IF(OR(A213="",G213=""),"",G213-F213)</f>
        <v/>
      </c>
      <c r="I213" s="21">
        <f>IF(OR(A213="",G213="",G213=0),"",H213/G213)</f>
        <v/>
      </c>
      <c r="J213" s="18" t="n"/>
      <c r="K213" s="22">
        <f>IF(I213="","",IF(I213&gt;=$N$3,"Yes","No"))</f>
        <v/>
      </c>
    </row>
    <row r="214">
      <c r="A214" s="18" t="n"/>
      <c r="B214" s="19" t="n"/>
      <c r="C214" s="19" t="n"/>
      <c r="D214" s="19" t="n"/>
      <c r="E214" s="19" t="n"/>
      <c r="F214" s="20">
        <f>IF(A214="","",SUM(B214:E214))</f>
        <v/>
      </c>
      <c r="G214" s="19" t="n"/>
      <c r="H214" s="20">
        <f>IF(OR(A214="",G214=""),"",G214-F214)</f>
        <v/>
      </c>
      <c r="I214" s="21">
        <f>IF(OR(A214="",G214="",G214=0),"",H214/G214)</f>
        <v/>
      </c>
      <c r="J214" s="18" t="n"/>
      <c r="K214" s="22">
        <f>IF(I214="","",IF(I214&gt;=$N$3,"Yes","No"))</f>
        <v/>
      </c>
    </row>
    <row r="215">
      <c r="A215" s="18" t="n"/>
      <c r="B215" s="19" t="n"/>
      <c r="C215" s="19" t="n"/>
      <c r="D215" s="19" t="n"/>
      <c r="E215" s="19" t="n"/>
      <c r="F215" s="20">
        <f>IF(A215="","",SUM(B215:E215))</f>
        <v/>
      </c>
      <c r="G215" s="19" t="n"/>
      <c r="H215" s="20">
        <f>IF(OR(A215="",G215=""),"",G215-F215)</f>
        <v/>
      </c>
      <c r="I215" s="21">
        <f>IF(OR(A215="",G215="",G215=0),"",H215/G215)</f>
        <v/>
      </c>
      <c r="J215" s="18" t="n"/>
      <c r="K215" s="22">
        <f>IF(I215="","",IF(I215&gt;=$N$3,"Yes","No"))</f>
        <v/>
      </c>
    </row>
    <row r="216">
      <c r="A216" s="18" t="n"/>
      <c r="B216" s="19" t="n"/>
      <c r="C216" s="19" t="n"/>
      <c r="D216" s="19" t="n"/>
      <c r="E216" s="19" t="n"/>
      <c r="F216" s="20">
        <f>IF(A216="","",SUM(B216:E216))</f>
        <v/>
      </c>
      <c r="G216" s="19" t="n"/>
      <c r="H216" s="20">
        <f>IF(OR(A216="",G216=""),"",G216-F216)</f>
        <v/>
      </c>
      <c r="I216" s="21">
        <f>IF(OR(A216="",G216="",G216=0),"",H216/G216)</f>
        <v/>
      </c>
      <c r="J216" s="18" t="n"/>
      <c r="K216" s="22">
        <f>IF(I216="","",IF(I216&gt;=$N$3,"Yes","No"))</f>
        <v/>
      </c>
    </row>
    <row r="217">
      <c r="A217" s="18" t="n"/>
      <c r="B217" s="19" t="n"/>
      <c r="C217" s="19" t="n"/>
      <c r="D217" s="19" t="n"/>
      <c r="E217" s="19" t="n"/>
      <c r="F217" s="20">
        <f>IF(A217="","",SUM(B217:E217))</f>
        <v/>
      </c>
      <c r="G217" s="19" t="n"/>
      <c r="H217" s="20">
        <f>IF(OR(A217="",G217=""),"",G217-F217)</f>
        <v/>
      </c>
      <c r="I217" s="21">
        <f>IF(OR(A217="",G217="",G217=0),"",H217/G217)</f>
        <v/>
      </c>
      <c r="J217" s="18" t="n"/>
      <c r="K217" s="22">
        <f>IF(I217="","",IF(I217&gt;=$N$3,"Yes","No"))</f>
        <v/>
      </c>
    </row>
    <row r="218">
      <c r="A218" s="18" t="n"/>
      <c r="B218" s="19" t="n"/>
      <c r="C218" s="19" t="n"/>
      <c r="D218" s="19" t="n"/>
      <c r="E218" s="19" t="n"/>
      <c r="F218" s="20">
        <f>IF(A218="","",SUM(B218:E218))</f>
        <v/>
      </c>
      <c r="G218" s="19" t="n"/>
      <c r="H218" s="20">
        <f>IF(OR(A218="",G218=""),"",G218-F218)</f>
        <v/>
      </c>
      <c r="I218" s="21">
        <f>IF(OR(A218="",G218="",G218=0),"",H218/G218)</f>
        <v/>
      </c>
      <c r="J218" s="18" t="n"/>
      <c r="K218" s="22">
        <f>IF(I218="","",IF(I218&gt;=$N$3,"Yes","No"))</f>
        <v/>
      </c>
    </row>
    <row r="219">
      <c r="A219" s="18" t="n"/>
      <c r="B219" s="19" t="n"/>
      <c r="C219" s="19" t="n"/>
      <c r="D219" s="19" t="n"/>
      <c r="E219" s="19" t="n"/>
      <c r="F219" s="20">
        <f>IF(A219="","",SUM(B219:E219))</f>
        <v/>
      </c>
      <c r="G219" s="19" t="n"/>
      <c r="H219" s="20">
        <f>IF(OR(A219="",G219=""),"",G219-F219)</f>
        <v/>
      </c>
      <c r="I219" s="21">
        <f>IF(OR(A219="",G219="",G219=0),"",H219/G219)</f>
        <v/>
      </c>
      <c r="J219" s="18" t="n"/>
      <c r="K219" s="22">
        <f>IF(I219="","",IF(I219&gt;=$N$3,"Yes","No"))</f>
        <v/>
      </c>
    </row>
    <row r="220">
      <c r="A220" s="18" t="n"/>
      <c r="B220" s="19" t="n"/>
      <c r="C220" s="19" t="n"/>
      <c r="D220" s="19" t="n"/>
      <c r="E220" s="19" t="n"/>
      <c r="F220" s="20">
        <f>IF(A220="","",SUM(B220:E220))</f>
        <v/>
      </c>
      <c r="G220" s="19" t="n"/>
      <c r="H220" s="20">
        <f>IF(OR(A220="",G220=""),"",G220-F220)</f>
        <v/>
      </c>
      <c r="I220" s="21">
        <f>IF(OR(A220="",G220="",G220=0),"",H220/G220)</f>
        <v/>
      </c>
      <c r="J220" s="18" t="n"/>
      <c r="K220" s="22">
        <f>IF(I220="","",IF(I220&gt;=$N$3,"Yes","No"))</f>
        <v/>
      </c>
    </row>
    <row r="221">
      <c r="A221" s="18" t="n"/>
      <c r="B221" s="19" t="n"/>
      <c r="C221" s="19" t="n"/>
      <c r="D221" s="19" t="n"/>
      <c r="E221" s="19" t="n"/>
      <c r="F221" s="20">
        <f>IF(A221="","",SUM(B221:E221))</f>
        <v/>
      </c>
      <c r="G221" s="19" t="n"/>
      <c r="H221" s="20">
        <f>IF(OR(A221="",G221=""),"",G221-F221)</f>
        <v/>
      </c>
      <c r="I221" s="21">
        <f>IF(OR(A221="",G221="",G221=0),"",H221/G221)</f>
        <v/>
      </c>
      <c r="J221" s="18" t="n"/>
      <c r="K221" s="22">
        <f>IF(I221="","",IF(I221&gt;=$N$3,"Yes","No"))</f>
        <v/>
      </c>
    </row>
    <row r="222">
      <c r="A222" s="18" t="n"/>
      <c r="B222" s="19" t="n"/>
      <c r="C222" s="19" t="n"/>
      <c r="D222" s="19" t="n"/>
      <c r="E222" s="19" t="n"/>
      <c r="F222" s="20">
        <f>IF(A222="","",SUM(B222:E222))</f>
        <v/>
      </c>
      <c r="G222" s="19" t="n"/>
      <c r="H222" s="20">
        <f>IF(OR(A222="",G222=""),"",G222-F222)</f>
        <v/>
      </c>
      <c r="I222" s="21">
        <f>IF(OR(A222="",G222="",G222=0),"",H222/G222)</f>
        <v/>
      </c>
      <c r="J222" s="18" t="n"/>
      <c r="K222" s="22">
        <f>IF(I222="","",IF(I222&gt;=$N$3,"Yes","No"))</f>
        <v/>
      </c>
    </row>
    <row r="223">
      <c r="A223" s="18" t="n"/>
      <c r="B223" s="19" t="n"/>
      <c r="C223" s="19" t="n"/>
      <c r="D223" s="19" t="n"/>
      <c r="E223" s="19" t="n"/>
      <c r="F223" s="20">
        <f>IF(A223="","",SUM(B223:E223))</f>
        <v/>
      </c>
      <c r="G223" s="19" t="n"/>
      <c r="H223" s="20">
        <f>IF(OR(A223="",G223=""),"",G223-F223)</f>
        <v/>
      </c>
      <c r="I223" s="21">
        <f>IF(OR(A223="",G223="",G223=0),"",H223/G223)</f>
        <v/>
      </c>
      <c r="J223" s="18" t="n"/>
      <c r="K223" s="22">
        <f>IF(I223="","",IF(I223&gt;=$N$3,"Yes","No"))</f>
        <v/>
      </c>
    </row>
    <row r="224">
      <c r="A224" s="18" t="n"/>
      <c r="B224" s="19" t="n"/>
      <c r="C224" s="19" t="n"/>
      <c r="D224" s="19" t="n"/>
      <c r="E224" s="19" t="n"/>
      <c r="F224" s="20">
        <f>IF(A224="","",SUM(B224:E224))</f>
        <v/>
      </c>
      <c r="G224" s="19" t="n"/>
      <c r="H224" s="20">
        <f>IF(OR(A224="",G224=""),"",G224-F224)</f>
        <v/>
      </c>
      <c r="I224" s="21">
        <f>IF(OR(A224="",G224="",G224=0),"",H224/G224)</f>
        <v/>
      </c>
      <c r="J224" s="18" t="n"/>
      <c r="K224" s="22">
        <f>IF(I224="","",IF(I224&gt;=$N$3,"Yes","No"))</f>
        <v/>
      </c>
    </row>
    <row r="225">
      <c r="A225" s="18" t="n"/>
      <c r="B225" s="19" t="n"/>
      <c r="C225" s="19" t="n"/>
      <c r="D225" s="19" t="n"/>
      <c r="E225" s="19" t="n"/>
      <c r="F225" s="20">
        <f>IF(A225="","",SUM(B225:E225))</f>
        <v/>
      </c>
      <c r="G225" s="19" t="n"/>
      <c r="H225" s="20">
        <f>IF(OR(A225="",G225=""),"",G225-F225)</f>
        <v/>
      </c>
      <c r="I225" s="21">
        <f>IF(OR(A225="",G225="",G225=0),"",H225/G225)</f>
        <v/>
      </c>
      <c r="J225" s="18" t="n"/>
      <c r="K225" s="22">
        <f>IF(I225="","",IF(I225&gt;=$N$3,"Yes","No"))</f>
        <v/>
      </c>
    </row>
    <row r="226">
      <c r="A226" s="18" t="n"/>
      <c r="B226" s="19" t="n"/>
      <c r="C226" s="19" t="n"/>
      <c r="D226" s="19" t="n"/>
      <c r="E226" s="19" t="n"/>
      <c r="F226" s="20">
        <f>IF(A226="","",SUM(B226:E226))</f>
        <v/>
      </c>
      <c r="G226" s="19" t="n"/>
      <c r="H226" s="20">
        <f>IF(OR(A226="",G226=""),"",G226-F226)</f>
        <v/>
      </c>
      <c r="I226" s="21">
        <f>IF(OR(A226="",G226="",G226=0),"",H226/G226)</f>
        <v/>
      </c>
      <c r="J226" s="18" t="n"/>
      <c r="K226" s="22">
        <f>IF(I226="","",IF(I226&gt;=$N$3,"Yes","No"))</f>
        <v/>
      </c>
    </row>
    <row r="227">
      <c r="A227" s="18" t="n"/>
      <c r="B227" s="19" t="n"/>
      <c r="C227" s="19" t="n"/>
      <c r="D227" s="19" t="n"/>
      <c r="E227" s="19" t="n"/>
      <c r="F227" s="20">
        <f>IF(A227="","",SUM(B227:E227))</f>
        <v/>
      </c>
      <c r="G227" s="19" t="n"/>
      <c r="H227" s="20">
        <f>IF(OR(A227="",G227=""),"",G227-F227)</f>
        <v/>
      </c>
      <c r="I227" s="21">
        <f>IF(OR(A227="",G227="",G227=0),"",H227/G227)</f>
        <v/>
      </c>
      <c r="J227" s="18" t="n"/>
      <c r="K227" s="22">
        <f>IF(I227="","",IF(I227&gt;=$N$3,"Yes","No"))</f>
        <v/>
      </c>
    </row>
    <row r="228">
      <c r="A228" s="18" t="n"/>
      <c r="B228" s="19" t="n"/>
      <c r="C228" s="19" t="n"/>
      <c r="D228" s="19" t="n"/>
      <c r="E228" s="19" t="n"/>
      <c r="F228" s="20">
        <f>IF(A228="","",SUM(B228:E228))</f>
        <v/>
      </c>
      <c r="G228" s="19" t="n"/>
      <c r="H228" s="20">
        <f>IF(OR(A228="",G228=""),"",G228-F228)</f>
        <v/>
      </c>
      <c r="I228" s="21">
        <f>IF(OR(A228="",G228="",G228=0),"",H228/G228)</f>
        <v/>
      </c>
      <c r="J228" s="18" t="n"/>
      <c r="K228" s="22">
        <f>IF(I228="","",IF(I228&gt;=$N$3,"Yes","No"))</f>
        <v/>
      </c>
    </row>
    <row r="229">
      <c r="A229" s="18" t="n"/>
      <c r="B229" s="19" t="n"/>
      <c r="C229" s="19" t="n"/>
      <c r="D229" s="19" t="n"/>
      <c r="E229" s="19" t="n"/>
      <c r="F229" s="20">
        <f>IF(A229="","",SUM(B229:E229))</f>
        <v/>
      </c>
      <c r="G229" s="19" t="n"/>
      <c r="H229" s="20">
        <f>IF(OR(A229="",G229=""),"",G229-F229)</f>
        <v/>
      </c>
      <c r="I229" s="21">
        <f>IF(OR(A229="",G229="",G229=0),"",H229/G229)</f>
        <v/>
      </c>
      <c r="J229" s="18" t="n"/>
      <c r="K229" s="22">
        <f>IF(I229="","",IF(I229&gt;=$N$3,"Yes","No"))</f>
        <v/>
      </c>
    </row>
    <row r="230">
      <c r="A230" s="18" t="n"/>
      <c r="B230" s="19" t="n"/>
      <c r="C230" s="19" t="n"/>
      <c r="D230" s="19" t="n"/>
      <c r="E230" s="19" t="n"/>
      <c r="F230" s="20">
        <f>IF(A230="","",SUM(B230:E230))</f>
        <v/>
      </c>
      <c r="G230" s="19" t="n"/>
      <c r="H230" s="20">
        <f>IF(OR(A230="",G230=""),"",G230-F230)</f>
        <v/>
      </c>
      <c r="I230" s="21">
        <f>IF(OR(A230="",G230="",G230=0),"",H230/G230)</f>
        <v/>
      </c>
      <c r="J230" s="18" t="n"/>
      <c r="K230" s="22">
        <f>IF(I230="","",IF(I230&gt;=$N$3,"Yes","No"))</f>
        <v/>
      </c>
    </row>
    <row r="231">
      <c r="A231" s="18" t="n"/>
      <c r="B231" s="19" t="n"/>
      <c r="C231" s="19" t="n"/>
      <c r="D231" s="19" t="n"/>
      <c r="E231" s="19" t="n"/>
      <c r="F231" s="20">
        <f>IF(A231="","",SUM(B231:E231))</f>
        <v/>
      </c>
      <c r="G231" s="19" t="n"/>
      <c r="H231" s="20">
        <f>IF(OR(A231="",G231=""),"",G231-F231)</f>
        <v/>
      </c>
      <c r="I231" s="21">
        <f>IF(OR(A231="",G231="",G231=0),"",H231/G231)</f>
        <v/>
      </c>
      <c r="J231" s="18" t="n"/>
      <c r="K231" s="22">
        <f>IF(I231="","",IF(I231&gt;=$N$3,"Yes","No"))</f>
        <v/>
      </c>
    </row>
    <row r="232">
      <c r="A232" s="18" t="n"/>
      <c r="B232" s="19" t="n"/>
      <c r="C232" s="19" t="n"/>
      <c r="D232" s="19" t="n"/>
      <c r="E232" s="19" t="n"/>
      <c r="F232" s="20">
        <f>IF(A232="","",SUM(B232:E232))</f>
        <v/>
      </c>
      <c r="G232" s="19" t="n"/>
      <c r="H232" s="20">
        <f>IF(OR(A232="",G232=""),"",G232-F232)</f>
        <v/>
      </c>
      <c r="I232" s="21">
        <f>IF(OR(A232="",G232="",G232=0),"",H232/G232)</f>
        <v/>
      </c>
      <c r="J232" s="18" t="n"/>
      <c r="K232" s="22">
        <f>IF(I232="","",IF(I232&gt;=$N$3,"Yes","No"))</f>
        <v/>
      </c>
    </row>
    <row r="233">
      <c r="A233" s="18" t="n"/>
      <c r="B233" s="19" t="n"/>
      <c r="C233" s="19" t="n"/>
      <c r="D233" s="19" t="n"/>
      <c r="E233" s="19" t="n"/>
      <c r="F233" s="20">
        <f>IF(A233="","",SUM(B233:E233))</f>
        <v/>
      </c>
      <c r="G233" s="19" t="n"/>
      <c r="H233" s="20">
        <f>IF(OR(A233="",G233=""),"",G233-F233)</f>
        <v/>
      </c>
      <c r="I233" s="21">
        <f>IF(OR(A233="",G233="",G233=0),"",H233/G233)</f>
        <v/>
      </c>
      <c r="J233" s="18" t="n"/>
      <c r="K233" s="22">
        <f>IF(I233="","",IF(I233&gt;=$N$3,"Yes","No"))</f>
        <v/>
      </c>
    </row>
    <row r="234">
      <c r="A234" s="18" t="n"/>
      <c r="B234" s="19" t="n"/>
      <c r="C234" s="19" t="n"/>
      <c r="D234" s="19" t="n"/>
      <c r="E234" s="19" t="n"/>
      <c r="F234" s="20">
        <f>IF(A234="","",SUM(B234:E234))</f>
        <v/>
      </c>
      <c r="G234" s="19" t="n"/>
      <c r="H234" s="20">
        <f>IF(OR(A234="",G234=""),"",G234-F234)</f>
        <v/>
      </c>
      <c r="I234" s="21">
        <f>IF(OR(A234="",G234="",G234=0),"",H234/G234)</f>
        <v/>
      </c>
      <c r="J234" s="18" t="n"/>
      <c r="K234" s="22">
        <f>IF(I234="","",IF(I234&gt;=$N$3,"Yes","No"))</f>
        <v/>
      </c>
    </row>
    <row r="235">
      <c r="A235" s="18" t="n"/>
      <c r="B235" s="19" t="n"/>
      <c r="C235" s="19" t="n"/>
      <c r="D235" s="19" t="n"/>
      <c r="E235" s="19" t="n"/>
      <c r="F235" s="20">
        <f>IF(A235="","",SUM(B235:E235))</f>
        <v/>
      </c>
      <c r="G235" s="19" t="n"/>
      <c r="H235" s="20">
        <f>IF(OR(A235="",G235=""),"",G235-F235)</f>
        <v/>
      </c>
      <c r="I235" s="21">
        <f>IF(OR(A235="",G235="",G235=0),"",H235/G235)</f>
        <v/>
      </c>
      <c r="J235" s="18" t="n"/>
      <c r="K235" s="22">
        <f>IF(I235="","",IF(I235&gt;=$N$3,"Yes","No"))</f>
        <v/>
      </c>
    </row>
    <row r="236">
      <c r="A236" s="18" t="n"/>
      <c r="B236" s="19" t="n"/>
      <c r="C236" s="19" t="n"/>
      <c r="D236" s="19" t="n"/>
      <c r="E236" s="19" t="n"/>
      <c r="F236" s="20">
        <f>IF(A236="","",SUM(B236:E236))</f>
        <v/>
      </c>
      <c r="G236" s="19" t="n"/>
      <c r="H236" s="20">
        <f>IF(OR(A236="",G236=""),"",G236-F236)</f>
        <v/>
      </c>
      <c r="I236" s="21">
        <f>IF(OR(A236="",G236="",G236=0),"",H236/G236)</f>
        <v/>
      </c>
      <c r="J236" s="18" t="n"/>
      <c r="K236" s="22">
        <f>IF(I236="","",IF(I236&gt;=$N$3,"Yes","No"))</f>
        <v/>
      </c>
    </row>
    <row r="237">
      <c r="A237" s="18" t="n"/>
      <c r="B237" s="19" t="n"/>
      <c r="C237" s="19" t="n"/>
      <c r="D237" s="19" t="n"/>
      <c r="E237" s="19" t="n"/>
      <c r="F237" s="20">
        <f>IF(A237="","",SUM(B237:E237))</f>
        <v/>
      </c>
      <c r="G237" s="19" t="n"/>
      <c r="H237" s="20">
        <f>IF(OR(A237="",G237=""),"",G237-F237)</f>
        <v/>
      </c>
      <c r="I237" s="21">
        <f>IF(OR(A237="",G237="",G237=0),"",H237/G237)</f>
        <v/>
      </c>
      <c r="J237" s="18" t="n"/>
      <c r="K237" s="22">
        <f>IF(I237="","",IF(I237&gt;=$N$3,"Yes","No"))</f>
        <v/>
      </c>
    </row>
    <row r="238">
      <c r="A238" s="18" t="n"/>
      <c r="B238" s="19" t="n"/>
      <c r="C238" s="19" t="n"/>
      <c r="D238" s="19" t="n"/>
      <c r="E238" s="19" t="n"/>
      <c r="F238" s="20">
        <f>IF(A238="","",SUM(B238:E238))</f>
        <v/>
      </c>
      <c r="G238" s="19" t="n"/>
      <c r="H238" s="20">
        <f>IF(OR(A238="",G238=""),"",G238-F238)</f>
        <v/>
      </c>
      <c r="I238" s="21">
        <f>IF(OR(A238="",G238="",G238=0),"",H238/G238)</f>
        <v/>
      </c>
      <c r="J238" s="18" t="n"/>
      <c r="K238" s="22">
        <f>IF(I238="","",IF(I238&gt;=$N$3,"Yes","No"))</f>
        <v/>
      </c>
    </row>
    <row r="239">
      <c r="A239" s="18" t="n"/>
      <c r="B239" s="19" t="n"/>
      <c r="C239" s="19" t="n"/>
      <c r="D239" s="19" t="n"/>
      <c r="E239" s="19" t="n"/>
      <c r="F239" s="20">
        <f>IF(A239="","",SUM(B239:E239))</f>
        <v/>
      </c>
      <c r="G239" s="19" t="n"/>
      <c r="H239" s="20">
        <f>IF(OR(A239="",G239=""),"",G239-F239)</f>
        <v/>
      </c>
      <c r="I239" s="21">
        <f>IF(OR(A239="",G239="",G239=0),"",H239/G239)</f>
        <v/>
      </c>
      <c r="J239" s="18" t="n"/>
      <c r="K239" s="22">
        <f>IF(I239="","",IF(I239&gt;=$N$3,"Yes","No"))</f>
        <v/>
      </c>
    </row>
    <row r="240">
      <c r="A240" s="18" t="n"/>
      <c r="B240" s="19" t="n"/>
      <c r="C240" s="19" t="n"/>
      <c r="D240" s="19" t="n"/>
      <c r="E240" s="19" t="n"/>
      <c r="F240" s="20">
        <f>IF(A240="","",SUM(B240:E240))</f>
        <v/>
      </c>
      <c r="G240" s="19" t="n"/>
      <c r="H240" s="20">
        <f>IF(OR(A240="",G240=""),"",G240-F240)</f>
        <v/>
      </c>
      <c r="I240" s="21">
        <f>IF(OR(A240="",G240="",G240=0),"",H240/G240)</f>
        <v/>
      </c>
      <c r="J240" s="18" t="n"/>
      <c r="K240" s="22">
        <f>IF(I240="","",IF(I240&gt;=$N$3,"Yes","No"))</f>
        <v/>
      </c>
    </row>
    <row r="241">
      <c r="A241" s="18" t="n"/>
      <c r="B241" s="19" t="n"/>
      <c r="C241" s="19" t="n"/>
      <c r="D241" s="19" t="n"/>
      <c r="E241" s="19" t="n"/>
      <c r="F241" s="20">
        <f>IF(A241="","",SUM(B241:E241))</f>
        <v/>
      </c>
      <c r="G241" s="19" t="n"/>
      <c r="H241" s="20">
        <f>IF(OR(A241="",G241=""),"",G241-F241)</f>
        <v/>
      </c>
      <c r="I241" s="21">
        <f>IF(OR(A241="",G241="",G241=0),"",H241/G241)</f>
        <v/>
      </c>
      <c r="J241" s="18" t="n"/>
      <c r="K241" s="22">
        <f>IF(I241="","",IF(I241&gt;=$N$3,"Yes","No"))</f>
        <v/>
      </c>
    </row>
    <row r="242">
      <c r="A242" s="18" t="n"/>
      <c r="B242" s="19" t="n"/>
      <c r="C242" s="19" t="n"/>
      <c r="D242" s="19" t="n"/>
      <c r="E242" s="19" t="n"/>
      <c r="F242" s="20">
        <f>IF(A242="","",SUM(B242:E242))</f>
        <v/>
      </c>
      <c r="G242" s="19" t="n"/>
      <c r="H242" s="20">
        <f>IF(OR(A242="",G242=""),"",G242-F242)</f>
        <v/>
      </c>
      <c r="I242" s="21">
        <f>IF(OR(A242="",G242="",G242=0),"",H242/G242)</f>
        <v/>
      </c>
      <c r="J242" s="18" t="n"/>
      <c r="K242" s="22">
        <f>IF(I242="","",IF(I242&gt;=$N$3,"Yes","No"))</f>
        <v/>
      </c>
    </row>
    <row r="243">
      <c r="A243" s="18" t="n"/>
      <c r="B243" s="19" t="n"/>
      <c r="C243" s="19" t="n"/>
      <c r="D243" s="19" t="n"/>
      <c r="E243" s="19" t="n"/>
      <c r="F243" s="20">
        <f>IF(A243="","",SUM(B243:E243))</f>
        <v/>
      </c>
      <c r="G243" s="19" t="n"/>
      <c r="H243" s="20">
        <f>IF(OR(A243="",G243=""),"",G243-F243)</f>
        <v/>
      </c>
      <c r="I243" s="21">
        <f>IF(OR(A243="",G243="",G243=0),"",H243/G243)</f>
        <v/>
      </c>
      <c r="J243" s="18" t="n"/>
      <c r="K243" s="22">
        <f>IF(I243="","",IF(I243&gt;=$N$3,"Yes","No"))</f>
        <v/>
      </c>
    </row>
    <row r="244">
      <c r="A244" s="18" t="n"/>
      <c r="B244" s="19" t="n"/>
      <c r="C244" s="19" t="n"/>
      <c r="D244" s="19" t="n"/>
      <c r="E244" s="19" t="n"/>
      <c r="F244" s="20">
        <f>IF(A244="","",SUM(B244:E244))</f>
        <v/>
      </c>
      <c r="G244" s="19" t="n"/>
      <c r="H244" s="20">
        <f>IF(OR(A244="",G244=""),"",G244-F244)</f>
        <v/>
      </c>
      <c r="I244" s="21">
        <f>IF(OR(A244="",G244="",G244=0),"",H244/G244)</f>
        <v/>
      </c>
      <c r="J244" s="18" t="n"/>
      <c r="K244" s="22">
        <f>IF(I244="","",IF(I244&gt;=$N$3,"Yes","No"))</f>
        <v/>
      </c>
    </row>
    <row r="245">
      <c r="A245" s="18" t="n"/>
      <c r="B245" s="19" t="n"/>
      <c r="C245" s="19" t="n"/>
      <c r="D245" s="19" t="n"/>
      <c r="E245" s="19" t="n"/>
      <c r="F245" s="20">
        <f>IF(A245="","",SUM(B245:E245))</f>
        <v/>
      </c>
      <c r="G245" s="19" t="n"/>
      <c r="H245" s="20">
        <f>IF(OR(A245="",G245=""),"",G245-F245)</f>
        <v/>
      </c>
      <c r="I245" s="21">
        <f>IF(OR(A245="",G245="",G245=0),"",H245/G245)</f>
        <v/>
      </c>
      <c r="J245" s="18" t="n"/>
      <c r="K245" s="22">
        <f>IF(I245="","",IF(I245&gt;=$N$3,"Yes","No"))</f>
        <v/>
      </c>
    </row>
    <row r="246">
      <c r="A246" s="18" t="n"/>
      <c r="B246" s="19" t="n"/>
      <c r="C246" s="19" t="n"/>
      <c r="D246" s="19" t="n"/>
      <c r="E246" s="19" t="n"/>
      <c r="F246" s="20">
        <f>IF(A246="","",SUM(B246:E246))</f>
        <v/>
      </c>
      <c r="G246" s="19" t="n"/>
      <c r="H246" s="20">
        <f>IF(OR(A246="",G246=""),"",G246-F246)</f>
        <v/>
      </c>
      <c r="I246" s="21">
        <f>IF(OR(A246="",G246="",G246=0),"",H246/G246)</f>
        <v/>
      </c>
      <c r="J246" s="18" t="n"/>
      <c r="K246" s="22">
        <f>IF(I246="","",IF(I246&gt;=$N$3,"Yes","No"))</f>
        <v/>
      </c>
    </row>
    <row r="247">
      <c r="A247" s="18" t="n"/>
      <c r="B247" s="19" t="n"/>
      <c r="C247" s="19" t="n"/>
      <c r="D247" s="19" t="n"/>
      <c r="E247" s="19" t="n"/>
      <c r="F247" s="20">
        <f>IF(A247="","",SUM(B247:E247))</f>
        <v/>
      </c>
      <c r="G247" s="19" t="n"/>
      <c r="H247" s="20">
        <f>IF(OR(A247="",G247=""),"",G247-F247)</f>
        <v/>
      </c>
      <c r="I247" s="21">
        <f>IF(OR(A247="",G247="",G247=0),"",H247/G247)</f>
        <v/>
      </c>
      <c r="J247" s="18" t="n"/>
      <c r="K247" s="22">
        <f>IF(I247="","",IF(I247&gt;=$N$3,"Yes","No"))</f>
        <v/>
      </c>
    </row>
    <row r="248">
      <c r="A248" s="18" t="n"/>
      <c r="B248" s="19" t="n"/>
      <c r="C248" s="19" t="n"/>
      <c r="D248" s="19" t="n"/>
      <c r="E248" s="19" t="n"/>
      <c r="F248" s="20">
        <f>IF(A248="","",SUM(B248:E248))</f>
        <v/>
      </c>
      <c r="G248" s="19" t="n"/>
      <c r="H248" s="20">
        <f>IF(OR(A248="",G248=""),"",G248-F248)</f>
        <v/>
      </c>
      <c r="I248" s="21">
        <f>IF(OR(A248="",G248="",G248=0),"",H248/G248)</f>
        <v/>
      </c>
      <c r="J248" s="18" t="n"/>
      <c r="K248" s="22">
        <f>IF(I248="","",IF(I248&gt;=$N$3,"Yes","No"))</f>
        <v/>
      </c>
    </row>
    <row r="249">
      <c r="A249" s="18" t="n"/>
      <c r="B249" s="19" t="n"/>
      <c r="C249" s="19" t="n"/>
      <c r="D249" s="19" t="n"/>
      <c r="E249" s="19" t="n"/>
      <c r="F249" s="20">
        <f>IF(A249="","",SUM(B249:E249))</f>
        <v/>
      </c>
      <c r="G249" s="19" t="n"/>
      <c r="H249" s="20">
        <f>IF(OR(A249="",G249=""),"",G249-F249)</f>
        <v/>
      </c>
      <c r="I249" s="21">
        <f>IF(OR(A249="",G249="",G249=0),"",H249/G249)</f>
        <v/>
      </c>
      <c r="J249" s="18" t="n"/>
      <c r="K249" s="22">
        <f>IF(I249="","",IF(I249&gt;=$N$3,"Yes","No"))</f>
        <v/>
      </c>
    </row>
    <row r="250">
      <c r="A250" s="18" t="n"/>
      <c r="B250" s="19" t="n"/>
      <c r="C250" s="19" t="n"/>
      <c r="D250" s="19" t="n"/>
      <c r="E250" s="19" t="n"/>
      <c r="F250" s="20">
        <f>IF(A250="","",SUM(B250:E250))</f>
        <v/>
      </c>
      <c r="G250" s="19" t="n"/>
      <c r="H250" s="20">
        <f>IF(OR(A250="",G250=""),"",G250-F250)</f>
        <v/>
      </c>
      <c r="I250" s="21">
        <f>IF(OR(A250="",G250="",G250=0),"",H250/G250)</f>
        <v/>
      </c>
      <c r="J250" s="18" t="n"/>
      <c r="K250" s="22">
        <f>IF(I250="","",IF(I250&gt;=$N$3,"Yes","No"))</f>
        <v/>
      </c>
    </row>
    <row r="251">
      <c r="A251" s="18" t="n"/>
      <c r="B251" s="19" t="n"/>
      <c r="C251" s="19" t="n"/>
      <c r="D251" s="19" t="n"/>
      <c r="E251" s="19" t="n"/>
      <c r="F251" s="20">
        <f>IF(A251="","",SUM(B251:E251))</f>
        <v/>
      </c>
      <c r="G251" s="19" t="n"/>
      <c r="H251" s="20">
        <f>IF(OR(A251="",G251=""),"",G251-F251)</f>
        <v/>
      </c>
      <c r="I251" s="21">
        <f>IF(OR(A251="",G251="",G251=0),"",H251/G251)</f>
        <v/>
      </c>
      <c r="J251" s="18" t="n"/>
      <c r="K251" s="22">
        <f>IF(I251="","",IF(I251&gt;=$N$3,"Yes","No"))</f>
        <v/>
      </c>
    </row>
    <row r="252">
      <c r="A252" s="18" t="n"/>
      <c r="B252" s="19" t="n"/>
      <c r="C252" s="19" t="n"/>
      <c r="D252" s="19" t="n"/>
      <c r="E252" s="19" t="n"/>
      <c r="F252" s="20">
        <f>IF(A252="","",SUM(B252:E252))</f>
        <v/>
      </c>
      <c r="G252" s="19" t="n"/>
      <c r="H252" s="20">
        <f>IF(OR(A252="",G252=""),"",G252-F252)</f>
        <v/>
      </c>
      <c r="I252" s="21">
        <f>IF(OR(A252="",G252="",G252=0),"",H252/G252)</f>
        <v/>
      </c>
      <c r="J252" s="18" t="n"/>
      <c r="K252" s="22">
        <f>IF(I252="","",IF(I252&gt;=$N$3,"Yes","No"))</f>
        <v/>
      </c>
    </row>
    <row r="253">
      <c r="A253" s="18" t="n"/>
      <c r="B253" s="19" t="n"/>
      <c r="C253" s="19" t="n"/>
      <c r="D253" s="19" t="n"/>
      <c r="E253" s="19" t="n"/>
      <c r="F253" s="20">
        <f>IF(A253="","",SUM(B253:E253))</f>
        <v/>
      </c>
      <c r="G253" s="19" t="n"/>
      <c r="H253" s="20">
        <f>IF(OR(A253="",G253=""),"",G253-F253)</f>
        <v/>
      </c>
      <c r="I253" s="21">
        <f>IF(OR(A253="",G253="",G253=0),"",H253/G253)</f>
        <v/>
      </c>
      <c r="J253" s="18" t="n"/>
      <c r="K253" s="22">
        <f>IF(I253="","",IF(I253&gt;=$N$3,"Yes","No"))</f>
        <v/>
      </c>
    </row>
    <row r="254">
      <c r="A254" s="18" t="n"/>
      <c r="B254" s="19" t="n"/>
      <c r="C254" s="19" t="n"/>
      <c r="D254" s="19" t="n"/>
      <c r="E254" s="19" t="n"/>
      <c r="F254" s="20">
        <f>IF(A254="","",SUM(B254:E254))</f>
        <v/>
      </c>
      <c r="G254" s="19" t="n"/>
      <c r="H254" s="20">
        <f>IF(OR(A254="",G254=""),"",G254-F254)</f>
        <v/>
      </c>
      <c r="I254" s="21">
        <f>IF(OR(A254="",G254="",G254=0),"",H254/G254)</f>
        <v/>
      </c>
      <c r="J254" s="18" t="n"/>
      <c r="K254" s="22">
        <f>IF(I254="","",IF(I254&gt;=$N$3,"Yes","No"))</f>
        <v/>
      </c>
    </row>
    <row r="255">
      <c r="A255" s="18" t="n"/>
      <c r="B255" s="19" t="n"/>
      <c r="C255" s="19" t="n"/>
      <c r="D255" s="19" t="n"/>
      <c r="E255" s="19" t="n"/>
      <c r="F255" s="20">
        <f>IF(A255="","",SUM(B255:E255))</f>
        <v/>
      </c>
      <c r="G255" s="19" t="n"/>
      <c r="H255" s="20">
        <f>IF(OR(A255="",G255=""),"",G255-F255)</f>
        <v/>
      </c>
      <c r="I255" s="21">
        <f>IF(OR(A255="",G255="",G255=0),"",H255/G255)</f>
        <v/>
      </c>
      <c r="J255" s="18" t="n"/>
      <c r="K255" s="22">
        <f>IF(I255="","",IF(I255&gt;=$N$3,"Yes","No"))</f>
        <v/>
      </c>
    </row>
    <row r="256">
      <c r="A256" s="18" t="n"/>
      <c r="B256" s="19" t="n"/>
      <c r="C256" s="19" t="n"/>
      <c r="D256" s="19" t="n"/>
      <c r="E256" s="19" t="n"/>
      <c r="F256" s="20">
        <f>IF(A256="","",SUM(B256:E256))</f>
        <v/>
      </c>
      <c r="G256" s="19" t="n"/>
      <c r="H256" s="20">
        <f>IF(OR(A256="",G256=""),"",G256-F256)</f>
        <v/>
      </c>
      <c r="I256" s="21">
        <f>IF(OR(A256="",G256="",G256=0),"",H256/G256)</f>
        <v/>
      </c>
      <c r="J256" s="18" t="n"/>
      <c r="K256" s="22">
        <f>IF(I256="","",IF(I256&gt;=$N$3,"Yes","No"))</f>
        <v/>
      </c>
    </row>
    <row r="257">
      <c r="A257" s="18" t="n"/>
      <c r="B257" s="19" t="n"/>
      <c r="C257" s="19" t="n"/>
      <c r="D257" s="19" t="n"/>
      <c r="E257" s="19" t="n"/>
      <c r="F257" s="20">
        <f>IF(A257="","",SUM(B257:E257))</f>
        <v/>
      </c>
      <c r="G257" s="19" t="n"/>
      <c r="H257" s="20">
        <f>IF(OR(A257="",G257=""),"",G257-F257)</f>
        <v/>
      </c>
      <c r="I257" s="21">
        <f>IF(OR(A257="",G257="",G257=0),"",H257/G257)</f>
        <v/>
      </c>
      <c r="J257" s="18" t="n"/>
      <c r="K257" s="22">
        <f>IF(I257="","",IF(I257&gt;=$N$3,"Yes","No"))</f>
        <v/>
      </c>
    </row>
    <row r="258">
      <c r="A258" s="18" t="n"/>
      <c r="B258" s="19" t="n"/>
      <c r="C258" s="19" t="n"/>
      <c r="D258" s="19" t="n"/>
      <c r="E258" s="19" t="n"/>
      <c r="F258" s="20">
        <f>IF(A258="","",SUM(B258:E258))</f>
        <v/>
      </c>
      <c r="G258" s="19" t="n"/>
      <c r="H258" s="20">
        <f>IF(OR(A258="",G258=""),"",G258-F258)</f>
        <v/>
      </c>
      <c r="I258" s="21">
        <f>IF(OR(A258="",G258="",G258=0),"",H258/G258)</f>
        <v/>
      </c>
      <c r="J258" s="18" t="n"/>
      <c r="K258" s="22">
        <f>IF(I258="","",IF(I258&gt;=$N$3,"Yes","No"))</f>
        <v/>
      </c>
    </row>
    <row r="259">
      <c r="A259" s="18" t="n"/>
      <c r="B259" s="19" t="n"/>
      <c r="C259" s="19" t="n"/>
      <c r="D259" s="19" t="n"/>
      <c r="E259" s="19" t="n"/>
      <c r="F259" s="20">
        <f>IF(A259="","",SUM(B259:E259))</f>
        <v/>
      </c>
      <c r="G259" s="19" t="n"/>
      <c r="H259" s="20">
        <f>IF(OR(A259="",G259=""),"",G259-F259)</f>
        <v/>
      </c>
      <c r="I259" s="21">
        <f>IF(OR(A259="",G259="",G259=0),"",H259/G259)</f>
        <v/>
      </c>
      <c r="J259" s="18" t="n"/>
      <c r="K259" s="22">
        <f>IF(I259="","",IF(I259&gt;=$N$3,"Yes","No"))</f>
        <v/>
      </c>
    </row>
    <row r="260">
      <c r="A260" s="18" t="n"/>
      <c r="B260" s="19" t="n"/>
      <c r="C260" s="19" t="n"/>
      <c r="D260" s="19" t="n"/>
      <c r="E260" s="19" t="n"/>
      <c r="F260" s="20">
        <f>IF(A260="","",SUM(B260:E260))</f>
        <v/>
      </c>
      <c r="G260" s="19" t="n"/>
      <c r="H260" s="20">
        <f>IF(OR(A260="",G260=""),"",G260-F260)</f>
        <v/>
      </c>
      <c r="I260" s="21">
        <f>IF(OR(A260="",G260="",G260=0),"",H260/G260)</f>
        <v/>
      </c>
      <c r="J260" s="18" t="n"/>
      <c r="K260" s="22">
        <f>IF(I260="","",IF(I260&gt;=$N$3,"Yes","No"))</f>
        <v/>
      </c>
    </row>
    <row r="261">
      <c r="A261" s="18" t="n"/>
      <c r="B261" s="19" t="n"/>
      <c r="C261" s="19" t="n"/>
      <c r="D261" s="19" t="n"/>
      <c r="E261" s="19" t="n"/>
      <c r="F261" s="20">
        <f>IF(A261="","",SUM(B261:E261))</f>
        <v/>
      </c>
      <c r="G261" s="19" t="n"/>
      <c r="H261" s="20">
        <f>IF(OR(A261="",G261=""),"",G261-F261)</f>
        <v/>
      </c>
      <c r="I261" s="21">
        <f>IF(OR(A261="",G261="",G261=0),"",H261/G261)</f>
        <v/>
      </c>
      <c r="J261" s="18" t="n"/>
      <c r="K261" s="22">
        <f>IF(I261="","",IF(I261&gt;=$N$3,"Yes","No"))</f>
        <v/>
      </c>
    </row>
    <row r="262">
      <c r="A262" s="18" t="n"/>
      <c r="B262" s="19" t="n"/>
      <c r="C262" s="19" t="n"/>
      <c r="D262" s="19" t="n"/>
      <c r="E262" s="19" t="n"/>
      <c r="F262" s="20">
        <f>IF(A262="","",SUM(B262:E262))</f>
        <v/>
      </c>
      <c r="G262" s="19" t="n"/>
      <c r="H262" s="20">
        <f>IF(OR(A262="",G262=""),"",G262-F262)</f>
        <v/>
      </c>
      <c r="I262" s="21">
        <f>IF(OR(A262="",G262="",G262=0),"",H262/G262)</f>
        <v/>
      </c>
      <c r="J262" s="18" t="n"/>
      <c r="K262" s="22">
        <f>IF(I262="","",IF(I262&gt;=$N$3,"Yes","No"))</f>
        <v/>
      </c>
    </row>
    <row r="263">
      <c r="A263" s="18" t="n"/>
      <c r="B263" s="19" t="n"/>
      <c r="C263" s="19" t="n"/>
      <c r="D263" s="19" t="n"/>
      <c r="E263" s="19" t="n"/>
      <c r="F263" s="20">
        <f>IF(A263="","",SUM(B263:E263))</f>
        <v/>
      </c>
      <c r="G263" s="19" t="n"/>
      <c r="H263" s="20">
        <f>IF(OR(A263="",G263=""),"",G263-F263)</f>
        <v/>
      </c>
      <c r="I263" s="21">
        <f>IF(OR(A263="",G263="",G263=0),"",H263/G263)</f>
        <v/>
      </c>
      <c r="J263" s="18" t="n"/>
      <c r="K263" s="22">
        <f>IF(I263="","",IF(I263&gt;=$N$3,"Yes","No"))</f>
        <v/>
      </c>
    </row>
    <row r="264">
      <c r="A264" s="18" t="n"/>
      <c r="B264" s="19" t="n"/>
      <c r="C264" s="19" t="n"/>
      <c r="D264" s="19" t="n"/>
      <c r="E264" s="19" t="n"/>
      <c r="F264" s="20">
        <f>IF(A264="","",SUM(B264:E264))</f>
        <v/>
      </c>
      <c r="G264" s="19" t="n"/>
      <c r="H264" s="20">
        <f>IF(OR(A264="",G264=""),"",G264-F264)</f>
        <v/>
      </c>
      <c r="I264" s="21">
        <f>IF(OR(A264="",G264="",G264=0),"",H264/G264)</f>
        <v/>
      </c>
      <c r="J264" s="18" t="n"/>
      <c r="K264" s="22">
        <f>IF(I264="","",IF(I264&gt;=$N$3,"Yes","No"))</f>
        <v/>
      </c>
    </row>
    <row r="265">
      <c r="A265" s="18" t="n"/>
      <c r="B265" s="19" t="n"/>
      <c r="C265" s="19" t="n"/>
      <c r="D265" s="19" t="n"/>
      <c r="E265" s="19" t="n"/>
      <c r="F265" s="20">
        <f>IF(A265="","",SUM(B265:E265))</f>
        <v/>
      </c>
      <c r="G265" s="19" t="n"/>
      <c r="H265" s="20">
        <f>IF(OR(A265="",G265=""),"",G265-F265)</f>
        <v/>
      </c>
      <c r="I265" s="21">
        <f>IF(OR(A265="",G265="",G265=0),"",H265/G265)</f>
        <v/>
      </c>
      <c r="J265" s="18" t="n"/>
      <c r="K265" s="22">
        <f>IF(I265="","",IF(I265&gt;=$N$3,"Yes","No"))</f>
        <v/>
      </c>
    </row>
    <row r="266">
      <c r="A266" s="18" t="n"/>
      <c r="B266" s="19" t="n"/>
      <c r="C266" s="19" t="n"/>
      <c r="D266" s="19" t="n"/>
      <c r="E266" s="19" t="n"/>
      <c r="F266" s="20">
        <f>IF(A266="","",SUM(B266:E266))</f>
        <v/>
      </c>
      <c r="G266" s="19" t="n"/>
      <c r="H266" s="20">
        <f>IF(OR(A266="",G266=""),"",G266-F266)</f>
        <v/>
      </c>
      <c r="I266" s="21">
        <f>IF(OR(A266="",G266="",G266=0),"",H266/G266)</f>
        <v/>
      </c>
      <c r="J266" s="18" t="n"/>
      <c r="K266" s="22">
        <f>IF(I266="","",IF(I266&gt;=$N$3,"Yes","No"))</f>
        <v/>
      </c>
    </row>
    <row r="267">
      <c r="A267" s="18" t="n"/>
      <c r="B267" s="19" t="n"/>
      <c r="C267" s="19" t="n"/>
      <c r="D267" s="19" t="n"/>
      <c r="E267" s="19" t="n"/>
      <c r="F267" s="20">
        <f>IF(A267="","",SUM(B267:E267))</f>
        <v/>
      </c>
      <c r="G267" s="19" t="n"/>
      <c r="H267" s="20">
        <f>IF(OR(A267="",G267=""),"",G267-F267)</f>
        <v/>
      </c>
      <c r="I267" s="21">
        <f>IF(OR(A267="",G267="",G267=0),"",H267/G267)</f>
        <v/>
      </c>
      <c r="J267" s="18" t="n"/>
      <c r="K267" s="22">
        <f>IF(I267="","",IF(I267&gt;=$N$3,"Yes","No"))</f>
        <v/>
      </c>
    </row>
    <row r="268">
      <c r="A268" s="18" t="n"/>
      <c r="B268" s="19" t="n"/>
      <c r="C268" s="19" t="n"/>
      <c r="D268" s="19" t="n"/>
      <c r="E268" s="19" t="n"/>
      <c r="F268" s="20">
        <f>IF(A268="","",SUM(B268:E268))</f>
        <v/>
      </c>
      <c r="G268" s="19" t="n"/>
      <c r="H268" s="20">
        <f>IF(OR(A268="",G268=""),"",G268-F268)</f>
        <v/>
      </c>
      <c r="I268" s="21">
        <f>IF(OR(A268="",G268="",G268=0),"",H268/G268)</f>
        <v/>
      </c>
      <c r="J268" s="18" t="n"/>
      <c r="K268" s="22">
        <f>IF(I268="","",IF(I268&gt;=$N$3,"Yes","No"))</f>
        <v/>
      </c>
    </row>
    <row r="269">
      <c r="A269" s="18" t="n"/>
      <c r="B269" s="19" t="n"/>
      <c r="C269" s="19" t="n"/>
      <c r="D269" s="19" t="n"/>
      <c r="E269" s="19" t="n"/>
      <c r="F269" s="20">
        <f>IF(A269="","",SUM(B269:E269))</f>
        <v/>
      </c>
      <c r="G269" s="19" t="n"/>
      <c r="H269" s="20">
        <f>IF(OR(A269="",G269=""),"",G269-F269)</f>
        <v/>
      </c>
      <c r="I269" s="21">
        <f>IF(OR(A269="",G269="",G269=0),"",H269/G269)</f>
        <v/>
      </c>
      <c r="J269" s="18" t="n"/>
      <c r="K269" s="22">
        <f>IF(I269="","",IF(I269&gt;=$N$3,"Yes","No"))</f>
        <v/>
      </c>
    </row>
    <row r="270">
      <c r="A270" s="18" t="n"/>
      <c r="B270" s="19" t="n"/>
      <c r="C270" s="19" t="n"/>
      <c r="D270" s="19" t="n"/>
      <c r="E270" s="19" t="n"/>
      <c r="F270" s="20">
        <f>IF(A270="","",SUM(B270:E270))</f>
        <v/>
      </c>
      <c r="G270" s="19" t="n"/>
      <c r="H270" s="20">
        <f>IF(OR(A270="",G270=""),"",G270-F270)</f>
        <v/>
      </c>
      <c r="I270" s="21">
        <f>IF(OR(A270="",G270="",G270=0),"",H270/G270)</f>
        <v/>
      </c>
      <c r="J270" s="18" t="n"/>
      <c r="K270" s="22">
        <f>IF(I270="","",IF(I270&gt;=$N$3,"Yes","No"))</f>
        <v/>
      </c>
    </row>
    <row r="271">
      <c r="A271" s="18" t="n"/>
      <c r="B271" s="19" t="n"/>
      <c r="C271" s="19" t="n"/>
      <c r="D271" s="19" t="n"/>
      <c r="E271" s="19" t="n"/>
      <c r="F271" s="20">
        <f>IF(A271="","",SUM(B271:E271))</f>
        <v/>
      </c>
      <c r="G271" s="19" t="n"/>
      <c r="H271" s="20">
        <f>IF(OR(A271="",G271=""),"",G271-F271)</f>
        <v/>
      </c>
      <c r="I271" s="21">
        <f>IF(OR(A271="",G271="",G271=0),"",H271/G271)</f>
        <v/>
      </c>
      <c r="J271" s="18" t="n"/>
      <c r="K271" s="22">
        <f>IF(I271="","",IF(I271&gt;=$N$3,"Yes","No"))</f>
        <v/>
      </c>
    </row>
    <row r="272">
      <c r="A272" s="18" t="n"/>
      <c r="B272" s="19" t="n"/>
      <c r="C272" s="19" t="n"/>
      <c r="D272" s="19" t="n"/>
      <c r="E272" s="19" t="n"/>
      <c r="F272" s="20">
        <f>IF(A272="","",SUM(B272:E272))</f>
        <v/>
      </c>
      <c r="G272" s="19" t="n"/>
      <c r="H272" s="20">
        <f>IF(OR(A272="",G272=""),"",G272-F272)</f>
        <v/>
      </c>
      <c r="I272" s="21">
        <f>IF(OR(A272="",G272="",G272=0),"",H272/G272)</f>
        <v/>
      </c>
      <c r="J272" s="18" t="n"/>
      <c r="K272" s="22">
        <f>IF(I272="","",IF(I272&gt;=$N$3,"Yes","No"))</f>
        <v/>
      </c>
    </row>
    <row r="273">
      <c r="A273" s="18" t="n"/>
      <c r="B273" s="19" t="n"/>
      <c r="C273" s="19" t="n"/>
      <c r="D273" s="19" t="n"/>
      <c r="E273" s="19" t="n"/>
      <c r="F273" s="20">
        <f>IF(A273="","",SUM(B273:E273))</f>
        <v/>
      </c>
      <c r="G273" s="19" t="n"/>
      <c r="H273" s="20">
        <f>IF(OR(A273="",G273=""),"",G273-F273)</f>
        <v/>
      </c>
      <c r="I273" s="21">
        <f>IF(OR(A273="",G273="",G273=0),"",H273/G273)</f>
        <v/>
      </c>
      <c r="J273" s="18" t="n"/>
      <c r="K273" s="22">
        <f>IF(I273="","",IF(I273&gt;=$N$3,"Yes","No"))</f>
        <v/>
      </c>
    </row>
    <row r="274">
      <c r="A274" s="18" t="n"/>
      <c r="B274" s="19" t="n"/>
      <c r="C274" s="19" t="n"/>
      <c r="D274" s="19" t="n"/>
      <c r="E274" s="19" t="n"/>
      <c r="F274" s="20">
        <f>IF(A274="","",SUM(B274:E274))</f>
        <v/>
      </c>
      <c r="G274" s="19" t="n"/>
      <c r="H274" s="20">
        <f>IF(OR(A274="",G274=""),"",G274-F274)</f>
        <v/>
      </c>
      <c r="I274" s="21">
        <f>IF(OR(A274="",G274="",G274=0),"",H274/G274)</f>
        <v/>
      </c>
      <c r="J274" s="18" t="n"/>
      <c r="K274" s="22">
        <f>IF(I274="","",IF(I274&gt;=$N$3,"Yes","No"))</f>
        <v/>
      </c>
    </row>
    <row r="275">
      <c r="A275" s="18" t="n"/>
      <c r="B275" s="19" t="n"/>
      <c r="C275" s="19" t="n"/>
      <c r="D275" s="19" t="n"/>
      <c r="E275" s="19" t="n"/>
      <c r="F275" s="20">
        <f>IF(A275="","",SUM(B275:E275))</f>
        <v/>
      </c>
      <c r="G275" s="19" t="n"/>
      <c r="H275" s="20">
        <f>IF(OR(A275="",G275=""),"",G275-F275)</f>
        <v/>
      </c>
      <c r="I275" s="21">
        <f>IF(OR(A275="",G275="",G275=0),"",H275/G275)</f>
        <v/>
      </c>
      <c r="J275" s="18" t="n"/>
      <c r="K275" s="22">
        <f>IF(I275="","",IF(I275&gt;=$N$3,"Yes","No"))</f>
        <v/>
      </c>
    </row>
    <row r="276">
      <c r="A276" s="18" t="n"/>
      <c r="B276" s="19" t="n"/>
      <c r="C276" s="19" t="n"/>
      <c r="D276" s="19" t="n"/>
      <c r="E276" s="19" t="n"/>
      <c r="F276" s="20">
        <f>IF(A276="","",SUM(B276:E276))</f>
        <v/>
      </c>
      <c r="G276" s="19" t="n"/>
      <c r="H276" s="20">
        <f>IF(OR(A276="",G276=""),"",G276-F276)</f>
        <v/>
      </c>
      <c r="I276" s="21">
        <f>IF(OR(A276="",G276="",G276=0),"",H276/G276)</f>
        <v/>
      </c>
      <c r="J276" s="18" t="n"/>
      <c r="K276" s="22">
        <f>IF(I276="","",IF(I276&gt;=$N$3,"Yes","No"))</f>
        <v/>
      </c>
    </row>
    <row r="277">
      <c r="A277" s="18" t="n"/>
      <c r="B277" s="19" t="n"/>
      <c r="C277" s="19" t="n"/>
      <c r="D277" s="19" t="n"/>
      <c r="E277" s="19" t="n"/>
      <c r="F277" s="20">
        <f>IF(A277="","",SUM(B277:E277))</f>
        <v/>
      </c>
      <c r="G277" s="19" t="n"/>
      <c r="H277" s="20">
        <f>IF(OR(A277="",G277=""),"",G277-F277)</f>
        <v/>
      </c>
      <c r="I277" s="21">
        <f>IF(OR(A277="",G277="",G277=0),"",H277/G277)</f>
        <v/>
      </c>
      <c r="J277" s="18" t="n"/>
      <c r="K277" s="22">
        <f>IF(I277="","",IF(I277&gt;=$N$3,"Yes","No"))</f>
        <v/>
      </c>
    </row>
    <row r="278">
      <c r="A278" s="18" t="n"/>
      <c r="B278" s="19" t="n"/>
      <c r="C278" s="19" t="n"/>
      <c r="D278" s="19" t="n"/>
      <c r="E278" s="19" t="n"/>
      <c r="F278" s="20">
        <f>IF(A278="","",SUM(B278:E278))</f>
        <v/>
      </c>
      <c r="G278" s="19" t="n"/>
      <c r="H278" s="20">
        <f>IF(OR(A278="",G278=""),"",G278-F278)</f>
        <v/>
      </c>
      <c r="I278" s="21">
        <f>IF(OR(A278="",G278="",G278=0),"",H278/G278)</f>
        <v/>
      </c>
      <c r="J278" s="18" t="n"/>
      <c r="K278" s="22">
        <f>IF(I278="","",IF(I278&gt;=$N$3,"Yes","No"))</f>
        <v/>
      </c>
    </row>
    <row r="279">
      <c r="A279" s="18" t="n"/>
      <c r="B279" s="19" t="n"/>
      <c r="C279" s="19" t="n"/>
      <c r="D279" s="19" t="n"/>
      <c r="E279" s="19" t="n"/>
      <c r="F279" s="20">
        <f>IF(A279="","",SUM(B279:E279))</f>
        <v/>
      </c>
      <c r="G279" s="19" t="n"/>
      <c r="H279" s="20">
        <f>IF(OR(A279="",G279=""),"",G279-F279)</f>
        <v/>
      </c>
      <c r="I279" s="21">
        <f>IF(OR(A279="",G279="",G279=0),"",H279/G279)</f>
        <v/>
      </c>
      <c r="J279" s="18" t="n"/>
      <c r="K279" s="22">
        <f>IF(I279="","",IF(I279&gt;=$N$3,"Yes","No"))</f>
        <v/>
      </c>
    </row>
    <row r="280">
      <c r="A280" s="18" t="n"/>
      <c r="B280" s="19" t="n"/>
      <c r="C280" s="19" t="n"/>
      <c r="D280" s="19" t="n"/>
      <c r="E280" s="19" t="n"/>
      <c r="F280" s="20">
        <f>IF(A280="","",SUM(B280:E280))</f>
        <v/>
      </c>
      <c r="G280" s="19" t="n"/>
      <c r="H280" s="20">
        <f>IF(OR(A280="",G280=""),"",G280-F280)</f>
        <v/>
      </c>
      <c r="I280" s="21">
        <f>IF(OR(A280="",G280="",G280=0),"",H280/G280)</f>
        <v/>
      </c>
      <c r="J280" s="18" t="n"/>
      <c r="K280" s="22">
        <f>IF(I280="","",IF(I280&gt;=$N$3,"Yes","No"))</f>
        <v/>
      </c>
    </row>
    <row r="281">
      <c r="A281" s="18" t="n"/>
      <c r="B281" s="19" t="n"/>
      <c r="C281" s="19" t="n"/>
      <c r="D281" s="19" t="n"/>
      <c r="E281" s="19" t="n"/>
      <c r="F281" s="20">
        <f>IF(A281="","",SUM(B281:E281))</f>
        <v/>
      </c>
      <c r="G281" s="19" t="n"/>
      <c r="H281" s="20">
        <f>IF(OR(A281="",G281=""),"",G281-F281)</f>
        <v/>
      </c>
      <c r="I281" s="21">
        <f>IF(OR(A281="",G281="",G281=0),"",H281/G281)</f>
        <v/>
      </c>
      <c r="J281" s="18" t="n"/>
      <c r="K281" s="22">
        <f>IF(I281="","",IF(I281&gt;=$N$3,"Yes","No"))</f>
        <v/>
      </c>
    </row>
    <row r="282">
      <c r="A282" s="18" t="n"/>
      <c r="B282" s="19" t="n"/>
      <c r="C282" s="19" t="n"/>
      <c r="D282" s="19" t="n"/>
      <c r="E282" s="19" t="n"/>
      <c r="F282" s="20">
        <f>IF(A282="","",SUM(B282:E282))</f>
        <v/>
      </c>
      <c r="G282" s="19" t="n"/>
      <c r="H282" s="20">
        <f>IF(OR(A282="",G282=""),"",G282-F282)</f>
        <v/>
      </c>
      <c r="I282" s="21">
        <f>IF(OR(A282="",G282="",G282=0),"",H282/G282)</f>
        <v/>
      </c>
      <c r="J282" s="18" t="n"/>
      <c r="K282" s="22">
        <f>IF(I282="","",IF(I282&gt;=$N$3,"Yes","No"))</f>
        <v/>
      </c>
    </row>
    <row r="283">
      <c r="A283" s="18" t="n"/>
      <c r="B283" s="19" t="n"/>
      <c r="C283" s="19" t="n"/>
      <c r="D283" s="19" t="n"/>
      <c r="E283" s="19" t="n"/>
      <c r="F283" s="20">
        <f>IF(A283="","",SUM(B283:E283))</f>
        <v/>
      </c>
      <c r="G283" s="19" t="n"/>
      <c r="H283" s="20">
        <f>IF(OR(A283="",G283=""),"",G283-F283)</f>
        <v/>
      </c>
      <c r="I283" s="21">
        <f>IF(OR(A283="",G283="",G283=0),"",H283/G283)</f>
        <v/>
      </c>
      <c r="J283" s="18" t="n"/>
      <c r="K283" s="22">
        <f>IF(I283="","",IF(I283&gt;=$N$3,"Yes","No"))</f>
        <v/>
      </c>
    </row>
    <row r="284">
      <c r="A284" s="18" t="n"/>
      <c r="B284" s="19" t="n"/>
      <c r="C284" s="19" t="n"/>
      <c r="D284" s="19" t="n"/>
      <c r="E284" s="19" t="n"/>
      <c r="F284" s="20">
        <f>IF(A284="","",SUM(B284:E284))</f>
        <v/>
      </c>
      <c r="G284" s="19" t="n"/>
      <c r="H284" s="20">
        <f>IF(OR(A284="",G284=""),"",G284-F284)</f>
        <v/>
      </c>
      <c r="I284" s="21">
        <f>IF(OR(A284="",G284="",G284=0),"",H284/G284)</f>
        <v/>
      </c>
      <c r="J284" s="18" t="n"/>
      <c r="K284" s="22">
        <f>IF(I284="","",IF(I284&gt;=$N$3,"Yes","No"))</f>
        <v/>
      </c>
    </row>
    <row r="285">
      <c r="A285" s="18" t="n"/>
      <c r="B285" s="19" t="n"/>
      <c r="C285" s="19" t="n"/>
      <c r="D285" s="19" t="n"/>
      <c r="E285" s="19" t="n"/>
      <c r="F285" s="20">
        <f>IF(A285="","",SUM(B285:E285))</f>
        <v/>
      </c>
      <c r="G285" s="19" t="n"/>
      <c r="H285" s="20">
        <f>IF(OR(A285="",G285=""),"",G285-F285)</f>
        <v/>
      </c>
      <c r="I285" s="21">
        <f>IF(OR(A285="",G285="",G285=0),"",H285/G285)</f>
        <v/>
      </c>
      <c r="J285" s="18" t="n"/>
      <c r="K285" s="22">
        <f>IF(I285="","",IF(I285&gt;=$N$3,"Yes","No"))</f>
        <v/>
      </c>
    </row>
    <row r="286">
      <c r="A286" s="18" t="n"/>
      <c r="B286" s="19" t="n"/>
      <c r="C286" s="19" t="n"/>
      <c r="D286" s="19" t="n"/>
      <c r="E286" s="19" t="n"/>
      <c r="F286" s="20">
        <f>IF(A286="","",SUM(B286:E286))</f>
        <v/>
      </c>
      <c r="G286" s="19" t="n"/>
      <c r="H286" s="20">
        <f>IF(OR(A286="",G286=""),"",G286-F286)</f>
        <v/>
      </c>
      <c r="I286" s="21">
        <f>IF(OR(A286="",G286="",G286=0),"",H286/G286)</f>
        <v/>
      </c>
      <c r="J286" s="18" t="n"/>
      <c r="K286" s="22">
        <f>IF(I286="","",IF(I286&gt;=$N$3,"Yes","No"))</f>
        <v/>
      </c>
    </row>
    <row r="287">
      <c r="A287" s="18" t="n"/>
      <c r="B287" s="19" t="n"/>
      <c r="C287" s="19" t="n"/>
      <c r="D287" s="19" t="n"/>
      <c r="E287" s="19" t="n"/>
      <c r="F287" s="20">
        <f>IF(A287="","",SUM(B287:E287))</f>
        <v/>
      </c>
      <c r="G287" s="19" t="n"/>
      <c r="H287" s="20">
        <f>IF(OR(A287="",G287=""),"",G287-F287)</f>
        <v/>
      </c>
      <c r="I287" s="21">
        <f>IF(OR(A287="",G287="",G287=0),"",H287/G287)</f>
        <v/>
      </c>
      <c r="J287" s="18" t="n"/>
      <c r="K287" s="22">
        <f>IF(I287="","",IF(I287&gt;=$N$3,"Yes","No"))</f>
        <v/>
      </c>
    </row>
    <row r="288">
      <c r="A288" s="18" t="n"/>
      <c r="B288" s="19" t="n"/>
      <c r="C288" s="19" t="n"/>
      <c r="D288" s="19" t="n"/>
      <c r="E288" s="19" t="n"/>
      <c r="F288" s="20">
        <f>IF(A288="","",SUM(B288:E288))</f>
        <v/>
      </c>
      <c r="G288" s="19" t="n"/>
      <c r="H288" s="20">
        <f>IF(OR(A288="",G288=""),"",G288-F288)</f>
        <v/>
      </c>
      <c r="I288" s="21">
        <f>IF(OR(A288="",G288="",G288=0),"",H288/G288)</f>
        <v/>
      </c>
      <c r="J288" s="18" t="n"/>
      <c r="K288" s="22">
        <f>IF(I288="","",IF(I288&gt;=$N$3,"Yes","No"))</f>
        <v/>
      </c>
    </row>
    <row r="289">
      <c r="A289" s="18" t="n"/>
      <c r="B289" s="19" t="n"/>
      <c r="C289" s="19" t="n"/>
      <c r="D289" s="19" t="n"/>
      <c r="E289" s="19" t="n"/>
      <c r="F289" s="20">
        <f>IF(A289="","",SUM(B289:E289))</f>
        <v/>
      </c>
      <c r="G289" s="19" t="n"/>
      <c r="H289" s="20">
        <f>IF(OR(A289="",G289=""),"",G289-F289)</f>
        <v/>
      </c>
      <c r="I289" s="21">
        <f>IF(OR(A289="",G289="",G289=0),"",H289/G289)</f>
        <v/>
      </c>
      <c r="J289" s="18" t="n"/>
      <c r="K289" s="22">
        <f>IF(I289="","",IF(I289&gt;=$N$3,"Yes","No"))</f>
        <v/>
      </c>
    </row>
    <row r="290">
      <c r="A290" s="18" t="n"/>
      <c r="B290" s="19" t="n"/>
      <c r="C290" s="19" t="n"/>
      <c r="D290" s="19" t="n"/>
      <c r="E290" s="19" t="n"/>
      <c r="F290" s="20">
        <f>IF(A290="","",SUM(B290:E290))</f>
        <v/>
      </c>
      <c r="G290" s="19" t="n"/>
      <c r="H290" s="20">
        <f>IF(OR(A290="",G290=""),"",G290-F290)</f>
        <v/>
      </c>
      <c r="I290" s="21">
        <f>IF(OR(A290="",G290="",G290=0),"",H290/G290)</f>
        <v/>
      </c>
      <c r="J290" s="18" t="n"/>
      <c r="K290" s="22">
        <f>IF(I290="","",IF(I290&gt;=$N$3,"Yes","No"))</f>
        <v/>
      </c>
    </row>
    <row r="291">
      <c r="A291" s="18" t="n"/>
      <c r="B291" s="19" t="n"/>
      <c r="C291" s="19" t="n"/>
      <c r="D291" s="19" t="n"/>
      <c r="E291" s="19" t="n"/>
      <c r="F291" s="20">
        <f>IF(A291="","",SUM(B291:E291))</f>
        <v/>
      </c>
      <c r="G291" s="19" t="n"/>
      <c r="H291" s="20">
        <f>IF(OR(A291="",G291=""),"",G291-F291)</f>
        <v/>
      </c>
      <c r="I291" s="21">
        <f>IF(OR(A291="",G291="",G291=0),"",H291/G291)</f>
        <v/>
      </c>
      <c r="J291" s="18" t="n"/>
      <c r="K291" s="22">
        <f>IF(I291="","",IF(I291&gt;=$N$3,"Yes","No"))</f>
        <v/>
      </c>
    </row>
    <row r="292">
      <c r="A292" s="18" t="n"/>
      <c r="B292" s="19" t="n"/>
      <c r="C292" s="19" t="n"/>
      <c r="D292" s="19" t="n"/>
      <c r="E292" s="19" t="n"/>
      <c r="F292" s="20">
        <f>IF(A292="","",SUM(B292:E292))</f>
        <v/>
      </c>
      <c r="G292" s="19" t="n"/>
      <c r="H292" s="20">
        <f>IF(OR(A292="",G292=""),"",G292-F292)</f>
        <v/>
      </c>
      <c r="I292" s="21">
        <f>IF(OR(A292="",G292="",G292=0),"",H292/G292)</f>
        <v/>
      </c>
      <c r="J292" s="18" t="n"/>
      <c r="K292" s="22">
        <f>IF(I292="","",IF(I292&gt;=$N$3,"Yes","No"))</f>
        <v/>
      </c>
    </row>
    <row r="293">
      <c r="A293" s="18" t="n"/>
      <c r="B293" s="19" t="n"/>
      <c r="C293" s="19" t="n"/>
      <c r="D293" s="19" t="n"/>
      <c r="E293" s="19" t="n"/>
      <c r="F293" s="20">
        <f>IF(A293="","",SUM(B293:E293))</f>
        <v/>
      </c>
      <c r="G293" s="19" t="n"/>
      <c r="H293" s="20">
        <f>IF(OR(A293="",G293=""),"",G293-F293)</f>
        <v/>
      </c>
      <c r="I293" s="21">
        <f>IF(OR(A293="",G293="",G293=0),"",H293/G293)</f>
        <v/>
      </c>
      <c r="J293" s="18" t="n"/>
      <c r="K293" s="22">
        <f>IF(I293="","",IF(I293&gt;=$N$3,"Yes","No"))</f>
        <v/>
      </c>
    </row>
    <row r="294">
      <c r="A294" s="18" t="n"/>
      <c r="B294" s="19" t="n"/>
      <c r="C294" s="19" t="n"/>
      <c r="D294" s="19" t="n"/>
      <c r="E294" s="19" t="n"/>
      <c r="F294" s="20">
        <f>IF(A294="","",SUM(B294:E294))</f>
        <v/>
      </c>
      <c r="G294" s="19" t="n"/>
      <c r="H294" s="20">
        <f>IF(OR(A294="",G294=""),"",G294-F294)</f>
        <v/>
      </c>
      <c r="I294" s="21">
        <f>IF(OR(A294="",G294="",G294=0),"",H294/G294)</f>
        <v/>
      </c>
      <c r="J294" s="18" t="n"/>
      <c r="K294" s="22">
        <f>IF(I294="","",IF(I294&gt;=$N$3,"Yes","No"))</f>
        <v/>
      </c>
    </row>
    <row r="295">
      <c r="A295" s="18" t="n"/>
      <c r="B295" s="19" t="n"/>
      <c r="C295" s="19" t="n"/>
      <c r="D295" s="19" t="n"/>
      <c r="E295" s="19" t="n"/>
      <c r="F295" s="20">
        <f>IF(A295="","",SUM(B295:E295))</f>
        <v/>
      </c>
      <c r="G295" s="19" t="n"/>
      <c r="H295" s="20">
        <f>IF(OR(A295="",G295=""),"",G295-F295)</f>
        <v/>
      </c>
      <c r="I295" s="21">
        <f>IF(OR(A295="",G295="",G295=0),"",H295/G295)</f>
        <v/>
      </c>
      <c r="J295" s="18" t="n"/>
      <c r="K295" s="22">
        <f>IF(I295="","",IF(I295&gt;=$N$3,"Yes","No"))</f>
        <v/>
      </c>
    </row>
    <row r="296">
      <c r="A296" s="18" t="n"/>
      <c r="B296" s="19" t="n"/>
      <c r="C296" s="19" t="n"/>
      <c r="D296" s="19" t="n"/>
      <c r="E296" s="19" t="n"/>
      <c r="F296" s="20">
        <f>IF(A296="","",SUM(B296:E296))</f>
        <v/>
      </c>
      <c r="G296" s="19" t="n"/>
      <c r="H296" s="20">
        <f>IF(OR(A296="",G296=""),"",G296-F296)</f>
        <v/>
      </c>
      <c r="I296" s="21">
        <f>IF(OR(A296="",G296="",G296=0),"",H296/G296)</f>
        <v/>
      </c>
      <c r="J296" s="18" t="n"/>
      <c r="K296" s="22">
        <f>IF(I296="","",IF(I296&gt;=$N$3,"Yes","No"))</f>
        <v/>
      </c>
    </row>
    <row r="297">
      <c r="A297" s="18" t="n"/>
      <c r="B297" s="19" t="n"/>
      <c r="C297" s="19" t="n"/>
      <c r="D297" s="19" t="n"/>
      <c r="E297" s="19" t="n"/>
      <c r="F297" s="20">
        <f>IF(A297="","",SUM(B297:E297))</f>
        <v/>
      </c>
      <c r="G297" s="19" t="n"/>
      <c r="H297" s="20">
        <f>IF(OR(A297="",G297=""),"",G297-F297)</f>
        <v/>
      </c>
      <c r="I297" s="21">
        <f>IF(OR(A297="",G297="",G297=0),"",H297/G297)</f>
        <v/>
      </c>
      <c r="J297" s="18" t="n"/>
      <c r="K297" s="22">
        <f>IF(I297="","",IF(I297&gt;=$N$3,"Yes","No"))</f>
        <v/>
      </c>
    </row>
    <row r="298">
      <c r="A298" s="18" t="n"/>
      <c r="B298" s="19" t="n"/>
      <c r="C298" s="19" t="n"/>
      <c r="D298" s="19" t="n"/>
      <c r="E298" s="19" t="n"/>
      <c r="F298" s="20">
        <f>IF(A298="","",SUM(B298:E298))</f>
        <v/>
      </c>
      <c r="G298" s="19" t="n"/>
      <c r="H298" s="20">
        <f>IF(OR(A298="",G298=""),"",G298-F298)</f>
        <v/>
      </c>
      <c r="I298" s="21">
        <f>IF(OR(A298="",G298="",G298=0),"",H298/G298)</f>
        <v/>
      </c>
      <c r="J298" s="18" t="n"/>
      <c r="K298" s="22">
        <f>IF(I298="","",IF(I298&gt;=$N$3,"Yes","No"))</f>
        <v/>
      </c>
    </row>
    <row r="299">
      <c r="A299" s="18" t="n"/>
      <c r="B299" s="19" t="n"/>
      <c r="C299" s="19" t="n"/>
      <c r="D299" s="19" t="n"/>
      <c r="E299" s="19" t="n"/>
      <c r="F299" s="20">
        <f>IF(A299="","",SUM(B299:E299))</f>
        <v/>
      </c>
      <c r="G299" s="19" t="n"/>
      <c r="H299" s="20">
        <f>IF(OR(A299="",G299=""),"",G299-F299)</f>
        <v/>
      </c>
      <c r="I299" s="21">
        <f>IF(OR(A299="",G299="",G299=0),"",H299/G299)</f>
        <v/>
      </c>
      <c r="J299" s="18" t="n"/>
      <c r="K299" s="22">
        <f>IF(I299="","",IF(I299&gt;=$N$3,"Yes","No"))</f>
        <v/>
      </c>
    </row>
    <row r="300">
      <c r="A300" s="18" t="n"/>
      <c r="B300" s="19" t="n"/>
      <c r="C300" s="19" t="n"/>
      <c r="D300" s="19" t="n"/>
      <c r="E300" s="19" t="n"/>
      <c r="F300" s="20">
        <f>IF(A300="","",SUM(B300:E300))</f>
        <v/>
      </c>
      <c r="G300" s="19" t="n"/>
      <c r="H300" s="20">
        <f>IF(OR(A300="",G300=""),"",G300-F300)</f>
        <v/>
      </c>
      <c r="I300" s="21">
        <f>IF(OR(A300="",G300="",G300=0),"",H300/G300)</f>
        <v/>
      </c>
      <c r="J300" s="18" t="n"/>
      <c r="K300" s="22">
        <f>IF(I300="","",IF(I300&gt;=$N$3,"Yes","No"))</f>
        <v/>
      </c>
    </row>
    <row r="301">
      <c r="A301" s="18" t="n"/>
      <c r="B301" s="19" t="n"/>
      <c r="C301" s="19" t="n"/>
      <c r="D301" s="19" t="n"/>
      <c r="E301" s="19" t="n"/>
      <c r="F301" s="20">
        <f>IF(A301="","",SUM(B301:E301))</f>
        <v/>
      </c>
      <c r="G301" s="19" t="n"/>
      <c r="H301" s="20">
        <f>IF(OR(A301="",G301=""),"",G301-F301)</f>
        <v/>
      </c>
      <c r="I301" s="21">
        <f>IF(OR(A301="",G301="",G301=0),"",H301/G301)</f>
        <v/>
      </c>
      <c r="J301" s="18" t="n"/>
      <c r="K301" s="22">
        <f>IF(I301="","",IF(I301&gt;=$N$3,"Yes","No"))</f>
        <v/>
      </c>
    </row>
    <row r="302">
      <c r="A302" s="18" t="n"/>
      <c r="B302" s="19" t="n"/>
      <c r="C302" s="19" t="n"/>
      <c r="D302" s="19" t="n"/>
      <c r="E302" s="19" t="n"/>
      <c r="F302" s="20">
        <f>IF(A302="","",SUM(B302:E302))</f>
        <v/>
      </c>
      <c r="G302" s="19" t="n"/>
      <c r="H302" s="20">
        <f>IF(OR(A302="",G302=""),"",G302-F302)</f>
        <v/>
      </c>
      <c r="I302" s="21">
        <f>IF(OR(A302="",G302="",G302=0),"",H302/G302)</f>
        <v/>
      </c>
      <c r="J302" s="18" t="n"/>
      <c r="K302" s="22">
        <f>IF(I302="","",IF(I302&gt;=$N$3,"Yes","No"))</f>
        <v/>
      </c>
    </row>
    <row r="303">
      <c r="A303" s="18" t="n"/>
      <c r="B303" s="19" t="n"/>
      <c r="C303" s="19" t="n"/>
      <c r="D303" s="19" t="n"/>
      <c r="E303" s="19" t="n"/>
      <c r="F303" s="20">
        <f>IF(A303="","",SUM(B303:E303))</f>
        <v/>
      </c>
      <c r="G303" s="19" t="n"/>
      <c r="H303" s="20">
        <f>IF(OR(A303="",G303=""),"",G303-F303)</f>
        <v/>
      </c>
      <c r="I303" s="21">
        <f>IF(OR(A303="",G303="",G303=0),"",H303/G303)</f>
        <v/>
      </c>
      <c r="J303" s="18" t="n"/>
      <c r="K303" s="22">
        <f>IF(I303="","",IF(I303&gt;=$N$3,"Yes","No"))</f>
        <v/>
      </c>
    </row>
    <row r="304">
      <c r="A304" s="18" t="n"/>
      <c r="B304" s="19" t="n"/>
      <c r="C304" s="19" t="n"/>
      <c r="D304" s="19" t="n"/>
      <c r="E304" s="19" t="n"/>
      <c r="F304" s="20">
        <f>IF(A304="","",SUM(B304:E304))</f>
        <v/>
      </c>
      <c r="G304" s="19" t="n"/>
      <c r="H304" s="20">
        <f>IF(OR(A304="",G304=""),"",G304-F304)</f>
        <v/>
      </c>
      <c r="I304" s="21">
        <f>IF(OR(A304="",G304="",G304=0),"",H304/G304)</f>
        <v/>
      </c>
      <c r="J304" s="18" t="n"/>
      <c r="K304" s="22">
        <f>IF(I304="","",IF(I304&gt;=$N$3,"Yes","No"))</f>
        <v/>
      </c>
    </row>
    <row r="305">
      <c r="A305" s="18" t="n"/>
      <c r="B305" s="19" t="n"/>
      <c r="C305" s="19" t="n"/>
      <c r="D305" s="19" t="n"/>
      <c r="E305" s="19" t="n"/>
      <c r="F305" s="20">
        <f>IF(A305="","",SUM(B305:E305))</f>
        <v/>
      </c>
      <c r="G305" s="19" t="n"/>
      <c r="H305" s="20">
        <f>IF(OR(A305="",G305=""),"",G305-F305)</f>
        <v/>
      </c>
      <c r="I305" s="21">
        <f>IF(OR(A305="",G305="",G305=0),"",H305/G305)</f>
        <v/>
      </c>
      <c r="J305" s="18" t="n"/>
      <c r="K305" s="22">
        <f>IF(I305="","",IF(I305&gt;=$N$3,"Yes","No"))</f>
        <v/>
      </c>
    </row>
    <row r="306">
      <c r="A306" s="18" t="n"/>
      <c r="B306" s="19" t="n"/>
      <c r="C306" s="19" t="n"/>
      <c r="D306" s="19" t="n"/>
      <c r="E306" s="19" t="n"/>
      <c r="F306" s="20">
        <f>IF(A306="","",SUM(B306:E306))</f>
        <v/>
      </c>
      <c r="G306" s="19" t="n"/>
      <c r="H306" s="20">
        <f>IF(OR(A306="",G306=""),"",G306-F306)</f>
        <v/>
      </c>
      <c r="I306" s="21">
        <f>IF(OR(A306="",G306="",G306=0),"",H306/G306)</f>
        <v/>
      </c>
      <c r="J306" s="18" t="n"/>
      <c r="K306" s="22">
        <f>IF(I306="","",IF(I306&gt;=$N$3,"Yes","No"))</f>
        <v/>
      </c>
    </row>
    <row r="307">
      <c r="A307" s="18" t="n"/>
      <c r="B307" s="19" t="n"/>
      <c r="C307" s="19" t="n"/>
      <c r="D307" s="19" t="n"/>
      <c r="E307" s="19" t="n"/>
      <c r="F307" s="20">
        <f>IF(A307="","",SUM(B307:E307))</f>
        <v/>
      </c>
      <c r="G307" s="19" t="n"/>
      <c r="H307" s="20">
        <f>IF(OR(A307="",G307=""),"",G307-F307)</f>
        <v/>
      </c>
      <c r="I307" s="21">
        <f>IF(OR(A307="",G307="",G307=0),"",H307/G307)</f>
        <v/>
      </c>
      <c r="J307" s="18" t="n"/>
      <c r="K307" s="22">
        <f>IF(I307="","",IF(I307&gt;=$N$3,"Yes","No"))</f>
        <v/>
      </c>
    </row>
    <row r="308">
      <c r="A308" s="18" t="n"/>
      <c r="B308" s="19" t="n"/>
      <c r="C308" s="19" t="n"/>
      <c r="D308" s="19" t="n"/>
      <c r="E308" s="19" t="n"/>
      <c r="F308" s="20">
        <f>IF(A308="","",SUM(B308:E308))</f>
        <v/>
      </c>
      <c r="G308" s="19" t="n"/>
      <c r="H308" s="20">
        <f>IF(OR(A308="",G308=""),"",G308-F308)</f>
        <v/>
      </c>
      <c r="I308" s="21">
        <f>IF(OR(A308="",G308="",G308=0),"",H308/G308)</f>
        <v/>
      </c>
      <c r="J308" s="18" t="n"/>
      <c r="K308" s="22">
        <f>IF(I308="","",IF(I308&gt;=$N$3,"Yes","No"))</f>
        <v/>
      </c>
    </row>
    <row r="309">
      <c r="A309" s="18" t="n"/>
      <c r="B309" s="19" t="n"/>
      <c r="C309" s="19" t="n"/>
      <c r="D309" s="19" t="n"/>
      <c r="E309" s="19" t="n"/>
      <c r="F309" s="20">
        <f>IF(A309="","",SUM(B309:E309))</f>
        <v/>
      </c>
      <c r="G309" s="19" t="n"/>
      <c r="H309" s="20">
        <f>IF(OR(A309="",G309=""),"",G309-F309)</f>
        <v/>
      </c>
      <c r="I309" s="21">
        <f>IF(OR(A309="",G309="",G309=0),"",H309/G309)</f>
        <v/>
      </c>
      <c r="J309" s="18" t="n"/>
      <c r="K309" s="22">
        <f>IF(I309="","",IF(I309&gt;=$N$3,"Yes","No"))</f>
        <v/>
      </c>
    </row>
    <row r="310">
      <c r="A310" s="18" t="n"/>
      <c r="B310" s="19" t="n"/>
      <c r="C310" s="19" t="n"/>
      <c r="D310" s="19" t="n"/>
      <c r="E310" s="19" t="n"/>
      <c r="F310" s="20">
        <f>IF(A310="","",SUM(B310:E310))</f>
        <v/>
      </c>
      <c r="G310" s="19" t="n"/>
      <c r="H310" s="20">
        <f>IF(OR(A310="",G310=""),"",G310-F310)</f>
        <v/>
      </c>
      <c r="I310" s="21">
        <f>IF(OR(A310="",G310="",G310=0),"",H310/G310)</f>
        <v/>
      </c>
      <c r="J310" s="18" t="n"/>
      <c r="K310" s="22">
        <f>IF(I310="","",IF(I310&gt;=$N$3,"Yes","No"))</f>
        <v/>
      </c>
    </row>
    <row r="311">
      <c r="A311" s="18" t="n"/>
      <c r="B311" s="19" t="n"/>
      <c r="C311" s="19" t="n"/>
      <c r="D311" s="19" t="n"/>
      <c r="E311" s="19" t="n"/>
      <c r="F311" s="20">
        <f>IF(A311="","",SUM(B311:E311))</f>
        <v/>
      </c>
      <c r="G311" s="19" t="n"/>
      <c r="H311" s="20">
        <f>IF(OR(A311="",G311=""),"",G311-F311)</f>
        <v/>
      </c>
      <c r="I311" s="21">
        <f>IF(OR(A311="",G311="",G311=0),"",H311/G311)</f>
        <v/>
      </c>
      <c r="J311" s="18" t="n"/>
      <c r="K311" s="22">
        <f>IF(I311="","",IF(I311&gt;=$N$3,"Yes","No"))</f>
        <v/>
      </c>
    </row>
    <row r="312">
      <c r="A312" s="18" t="n"/>
      <c r="B312" s="19" t="n"/>
      <c r="C312" s="19" t="n"/>
      <c r="D312" s="19" t="n"/>
      <c r="E312" s="19" t="n"/>
      <c r="F312" s="20">
        <f>IF(A312="","",SUM(B312:E312))</f>
        <v/>
      </c>
      <c r="G312" s="19" t="n"/>
      <c r="H312" s="20">
        <f>IF(OR(A312="",G312=""),"",G312-F312)</f>
        <v/>
      </c>
      <c r="I312" s="21">
        <f>IF(OR(A312="",G312="",G312=0),"",H312/G312)</f>
        <v/>
      </c>
      <c r="J312" s="18" t="n"/>
      <c r="K312" s="22">
        <f>IF(I312="","",IF(I312&gt;=$N$3,"Yes","No"))</f>
        <v/>
      </c>
    </row>
    <row r="313">
      <c r="A313" s="18" t="n"/>
      <c r="B313" s="19" t="n"/>
      <c r="C313" s="19" t="n"/>
      <c r="D313" s="19" t="n"/>
      <c r="E313" s="19" t="n"/>
      <c r="F313" s="20">
        <f>IF(A313="","",SUM(B313:E313))</f>
        <v/>
      </c>
      <c r="G313" s="19" t="n"/>
      <c r="H313" s="20">
        <f>IF(OR(A313="",G313=""),"",G313-F313)</f>
        <v/>
      </c>
      <c r="I313" s="21">
        <f>IF(OR(A313="",G313="",G313=0),"",H313/G313)</f>
        <v/>
      </c>
      <c r="J313" s="18" t="n"/>
      <c r="K313" s="22">
        <f>IF(I313="","",IF(I313&gt;=$N$3,"Yes","No"))</f>
        <v/>
      </c>
    </row>
    <row r="314">
      <c r="A314" s="18" t="n"/>
      <c r="B314" s="19" t="n"/>
      <c r="C314" s="19" t="n"/>
      <c r="D314" s="19" t="n"/>
      <c r="E314" s="19" t="n"/>
      <c r="F314" s="20">
        <f>IF(A314="","",SUM(B314:E314))</f>
        <v/>
      </c>
      <c r="G314" s="19" t="n"/>
      <c r="H314" s="20">
        <f>IF(OR(A314="",G314=""),"",G314-F314)</f>
        <v/>
      </c>
      <c r="I314" s="21">
        <f>IF(OR(A314="",G314="",G314=0),"",H314/G314)</f>
        <v/>
      </c>
      <c r="J314" s="18" t="n"/>
      <c r="K314" s="22">
        <f>IF(I314="","",IF(I314&gt;=$N$3,"Yes","No"))</f>
        <v/>
      </c>
    </row>
    <row r="315">
      <c r="A315" s="18" t="n"/>
      <c r="B315" s="19" t="n"/>
      <c r="C315" s="19" t="n"/>
      <c r="D315" s="19" t="n"/>
      <c r="E315" s="19" t="n"/>
      <c r="F315" s="20">
        <f>IF(A315="","",SUM(B315:E315))</f>
        <v/>
      </c>
      <c r="G315" s="19" t="n"/>
      <c r="H315" s="20">
        <f>IF(OR(A315="",G315=""),"",G315-F315)</f>
        <v/>
      </c>
      <c r="I315" s="21">
        <f>IF(OR(A315="",G315="",G315=0),"",H315/G315)</f>
        <v/>
      </c>
      <c r="J315" s="18" t="n"/>
      <c r="K315" s="22">
        <f>IF(I315="","",IF(I315&gt;=$N$3,"Yes","No"))</f>
        <v/>
      </c>
    </row>
    <row r="316">
      <c r="A316" s="18" t="n"/>
      <c r="B316" s="19" t="n"/>
      <c r="C316" s="19" t="n"/>
      <c r="D316" s="19" t="n"/>
      <c r="E316" s="19" t="n"/>
      <c r="F316" s="20">
        <f>IF(A316="","",SUM(B316:E316))</f>
        <v/>
      </c>
      <c r="G316" s="19" t="n"/>
      <c r="H316" s="20">
        <f>IF(OR(A316="",G316=""),"",G316-F316)</f>
        <v/>
      </c>
      <c r="I316" s="21">
        <f>IF(OR(A316="",G316="",G316=0),"",H316/G316)</f>
        <v/>
      </c>
      <c r="J316" s="18" t="n"/>
      <c r="K316" s="22">
        <f>IF(I316="","",IF(I316&gt;=$N$3,"Yes","No"))</f>
        <v/>
      </c>
    </row>
    <row r="317">
      <c r="A317" s="18" t="n"/>
      <c r="B317" s="19" t="n"/>
      <c r="C317" s="19" t="n"/>
      <c r="D317" s="19" t="n"/>
      <c r="E317" s="19" t="n"/>
      <c r="F317" s="20">
        <f>IF(A317="","",SUM(B317:E317))</f>
        <v/>
      </c>
      <c r="G317" s="19" t="n"/>
      <c r="H317" s="20">
        <f>IF(OR(A317="",G317=""),"",G317-F317)</f>
        <v/>
      </c>
      <c r="I317" s="21">
        <f>IF(OR(A317="",G317="",G317=0),"",H317/G317)</f>
        <v/>
      </c>
      <c r="J317" s="18" t="n"/>
      <c r="K317" s="22">
        <f>IF(I317="","",IF(I317&gt;=$N$3,"Yes","No"))</f>
        <v/>
      </c>
    </row>
    <row r="318">
      <c r="A318" s="18" t="n"/>
      <c r="B318" s="19" t="n"/>
      <c r="C318" s="19" t="n"/>
      <c r="D318" s="19" t="n"/>
      <c r="E318" s="19" t="n"/>
      <c r="F318" s="20">
        <f>IF(A318="","",SUM(B318:E318))</f>
        <v/>
      </c>
      <c r="G318" s="19" t="n"/>
      <c r="H318" s="20">
        <f>IF(OR(A318="",G318=""),"",G318-F318)</f>
        <v/>
      </c>
      <c r="I318" s="21">
        <f>IF(OR(A318="",G318="",G318=0),"",H318/G318)</f>
        <v/>
      </c>
      <c r="J318" s="18" t="n"/>
      <c r="K318" s="22">
        <f>IF(I318="","",IF(I318&gt;=$N$3,"Yes","No"))</f>
        <v/>
      </c>
    </row>
    <row r="319">
      <c r="A319" s="18" t="n"/>
      <c r="B319" s="19" t="n"/>
      <c r="C319" s="19" t="n"/>
      <c r="D319" s="19" t="n"/>
      <c r="E319" s="19" t="n"/>
      <c r="F319" s="20">
        <f>IF(A319="","",SUM(B319:E319))</f>
        <v/>
      </c>
      <c r="G319" s="19" t="n"/>
      <c r="H319" s="20">
        <f>IF(OR(A319="",G319=""),"",G319-F319)</f>
        <v/>
      </c>
      <c r="I319" s="21">
        <f>IF(OR(A319="",G319="",G319=0),"",H319/G319)</f>
        <v/>
      </c>
      <c r="J319" s="18" t="n"/>
      <c r="K319" s="22">
        <f>IF(I319="","",IF(I319&gt;=$N$3,"Yes","No"))</f>
        <v/>
      </c>
    </row>
    <row r="320">
      <c r="A320" s="18" t="n"/>
      <c r="B320" s="19" t="n"/>
      <c r="C320" s="19" t="n"/>
      <c r="D320" s="19" t="n"/>
      <c r="E320" s="19" t="n"/>
      <c r="F320" s="20">
        <f>IF(A320="","",SUM(B320:E320))</f>
        <v/>
      </c>
      <c r="G320" s="19" t="n"/>
      <c r="H320" s="20">
        <f>IF(OR(A320="",G320=""),"",G320-F320)</f>
        <v/>
      </c>
      <c r="I320" s="21">
        <f>IF(OR(A320="",G320="",G320=0),"",H320/G320)</f>
        <v/>
      </c>
      <c r="J320" s="18" t="n"/>
      <c r="K320" s="22">
        <f>IF(I320="","",IF(I320&gt;=$N$3,"Yes","No"))</f>
        <v/>
      </c>
    </row>
    <row r="321">
      <c r="A321" s="18" t="n"/>
      <c r="B321" s="19" t="n"/>
      <c r="C321" s="19" t="n"/>
      <c r="D321" s="19" t="n"/>
      <c r="E321" s="19" t="n"/>
      <c r="F321" s="20">
        <f>IF(A321="","",SUM(B321:E321))</f>
        <v/>
      </c>
      <c r="G321" s="19" t="n"/>
      <c r="H321" s="20">
        <f>IF(OR(A321="",G321=""),"",G321-F321)</f>
        <v/>
      </c>
      <c r="I321" s="21">
        <f>IF(OR(A321="",G321="",G321=0),"",H321/G321)</f>
        <v/>
      </c>
      <c r="J321" s="18" t="n"/>
      <c r="K321" s="22">
        <f>IF(I321="","",IF(I321&gt;=$N$3,"Yes","No"))</f>
        <v/>
      </c>
    </row>
    <row r="322">
      <c r="A322" s="18" t="n"/>
      <c r="B322" s="19" t="n"/>
      <c r="C322" s="19" t="n"/>
      <c r="D322" s="19" t="n"/>
      <c r="E322" s="19" t="n"/>
      <c r="F322" s="20">
        <f>IF(A322="","",SUM(B322:E322))</f>
        <v/>
      </c>
      <c r="G322" s="19" t="n"/>
      <c r="H322" s="20">
        <f>IF(OR(A322="",G322=""),"",G322-F322)</f>
        <v/>
      </c>
      <c r="I322" s="21">
        <f>IF(OR(A322="",G322="",G322=0),"",H322/G322)</f>
        <v/>
      </c>
      <c r="J322" s="18" t="n"/>
      <c r="K322" s="22">
        <f>IF(I322="","",IF(I322&gt;=$N$3,"Yes","No"))</f>
        <v/>
      </c>
    </row>
    <row r="323">
      <c r="A323" s="18" t="n"/>
      <c r="B323" s="19" t="n"/>
      <c r="C323" s="19" t="n"/>
      <c r="D323" s="19" t="n"/>
      <c r="E323" s="19" t="n"/>
      <c r="F323" s="20">
        <f>IF(A323="","",SUM(B323:E323))</f>
        <v/>
      </c>
      <c r="G323" s="19" t="n"/>
      <c r="H323" s="20">
        <f>IF(OR(A323="",G323=""),"",G323-F323)</f>
        <v/>
      </c>
      <c r="I323" s="21">
        <f>IF(OR(A323="",G323="",G323=0),"",H323/G323)</f>
        <v/>
      </c>
      <c r="J323" s="18" t="n"/>
      <c r="K323" s="22">
        <f>IF(I323="","",IF(I323&gt;=$N$3,"Yes","No"))</f>
        <v/>
      </c>
    </row>
    <row r="324">
      <c r="A324" s="18" t="n"/>
      <c r="B324" s="19" t="n"/>
      <c r="C324" s="19" t="n"/>
      <c r="D324" s="19" t="n"/>
      <c r="E324" s="19" t="n"/>
      <c r="F324" s="20">
        <f>IF(A324="","",SUM(B324:E324))</f>
        <v/>
      </c>
      <c r="G324" s="19" t="n"/>
      <c r="H324" s="20">
        <f>IF(OR(A324="",G324=""),"",G324-F324)</f>
        <v/>
      </c>
      <c r="I324" s="21">
        <f>IF(OR(A324="",G324="",G324=0),"",H324/G324)</f>
        <v/>
      </c>
      <c r="J324" s="18" t="n"/>
      <c r="K324" s="22">
        <f>IF(I324="","",IF(I324&gt;=$N$3,"Yes","No"))</f>
        <v/>
      </c>
    </row>
    <row r="325">
      <c r="A325" s="18" t="n"/>
      <c r="B325" s="19" t="n"/>
      <c r="C325" s="19" t="n"/>
      <c r="D325" s="19" t="n"/>
      <c r="E325" s="19" t="n"/>
      <c r="F325" s="20">
        <f>IF(A325="","",SUM(B325:E325))</f>
        <v/>
      </c>
      <c r="G325" s="19" t="n"/>
      <c r="H325" s="20">
        <f>IF(OR(A325="",G325=""),"",G325-F325)</f>
        <v/>
      </c>
      <c r="I325" s="21">
        <f>IF(OR(A325="",G325="",G325=0),"",H325/G325)</f>
        <v/>
      </c>
      <c r="J325" s="18" t="n"/>
      <c r="K325" s="22">
        <f>IF(I325="","",IF(I325&gt;=$N$3,"Yes","No"))</f>
        <v/>
      </c>
    </row>
    <row r="326">
      <c r="A326" s="18" t="n"/>
      <c r="B326" s="19" t="n"/>
      <c r="C326" s="19" t="n"/>
      <c r="D326" s="19" t="n"/>
      <c r="E326" s="19" t="n"/>
      <c r="F326" s="20">
        <f>IF(A326="","",SUM(B326:E326))</f>
        <v/>
      </c>
      <c r="G326" s="19" t="n"/>
      <c r="H326" s="20">
        <f>IF(OR(A326="",G326=""),"",G326-F326)</f>
        <v/>
      </c>
      <c r="I326" s="21">
        <f>IF(OR(A326="",G326="",G326=0),"",H326/G326)</f>
        <v/>
      </c>
      <c r="J326" s="18" t="n"/>
      <c r="K326" s="22">
        <f>IF(I326="","",IF(I326&gt;=$N$3,"Yes","No"))</f>
        <v/>
      </c>
    </row>
    <row r="327">
      <c r="A327" s="18" t="n"/>
      <c r="B327" s="19" t="n"/>
      <c r="C327" s="19" t="n"/>
      <c r="D327" s="19" t="n"/>
      <c r="E327" s="19" t="n"/>
      <c r="F327" s="20">
        <f>IF(A327="","",SUM(B327:E327))</f>
        <v/>
      </c>
      <c r="G327" s="19" t="n"/>
      <c r="H327" s="20">
        <f>IF(OR(A327="",G327=""),"",G327-F327)</f>
        <v/>
      </c>
      <c r="I327" s="21">
        <f>IF(OR(A327="",G327="",G327=0),"",H327/G327)</f>
        <v/>
      </c>
      <c r="J327" s="18" t="n"/>
      <c r="K327" s="22">
        <f>IF(I327="","",IF(I327&gt;=$N$3,"Yes","No"))</f>
        <v/>
      </c>
    </row>
    <row r="328">
      <c r="A328" s="18" t="n"/>
      <c r="B328" s="19" t="n"/>
      <c r="C328" s="19" t="n"/>
      <c r="D328" s="19" t="n"/>
      <c r="E328" s="19" t="n"/>
      <c r="F328" s="20">
        <f>IF(A328="","",SUM(B328:E328))</f>
        <v/>
      </c>
      <c r="G328" s="19" t="n"/>
      <c r="H328" s="20">
        <f>IF(OR(A328="",G328=""),"",G328-F328)</f>
        <v/>
      </c>
      <c r="I328" s="21">
        <f>IF(OR(A328="",G328="",G328=0),"",H328/G328)</f>
        <v/>
      </c>
      <c r="J328" s="18" t="n"/>
      <c r="K328" s="22">
        <f>IF(I328="","",IF(I328&gt;=$N$3,"Yes","No"))</f>
        <v/>
      </c>
    </row>
    <row r="329">
      <c r="A329" s="18" t="n"/>
      <c r="B329" s="19" t="n"/>
      <c r="C329" s="19" t="n"/>
      <c r="D329" s="19" t="n"/>
      <c r="E329" s="19" t="n"/>
      <c r="F329" s="20">
        <f>IF(A329="","",SUM(B329:E329))</f>
        <v/>
      </c>
      <c r="G329" s="19" t="n"/>
      <c r="H329" s="20">
        <f>IF(OR(A329="",G329=""),"",G329-F329)</f>
        <v/>
      </c>
      <c r="I329" s="21">
        <f>IF(OR(A329="",G329="",G329=0),"",H329/G329)</f>
        <v/>
      </c>
      <c r="J329" s="18" t="n"/>
      <c r="K329" s="22">
        <f>IF(I329="","",IF(I329&gt;=$N$3,"Yes","No"))</f>
        <v/>
      </c>
    </row>
    <row r="330">
      <c r="A330" s="18" t="n"/>
      <c r="B330" s="19" t="n"/>
      <c r="C330" s="19" t="n"/>
      <c r="D330" s="19" t="n"/>
      <c r="E330" s="19" t="n"/>
      <c r="F330" s="20">
        <f>IF(A330="","",SUM(B330:E330))</f>
        <v/>
      </c>
      <c r="G330" s="19" t="n"/>
      <c r="H330" s="20">
        <f>IF(OR(A330="",G330=""),"",G330-F330)</f>
        <v/>
      </c>
      <c r="I330" s="21">
        <f>IF(OR(A330="",G330="",G330=0),"",H330/G330)</f>
        <v/>
      </c>
      <c r="J330" s="18" t="n"/>
      <c r="K330" s="22">
        <f>IF(I330="","",IF(I330&gt;=$N$3,"Yes","No"))</f>
        <v/>
      </c>
    </row>
    <row r="331">
      <c r="A331" s="18" t="n"/>
      <c r="B331" s="19" t="n"/>
      <c r="C331" s="19" t="n"/>
      <c r="D331" s="19" t="n"/>
      <c r="E331" s="19" t="n"/>
      <c r="F331" s="20">
        <f>IF(A331="","",SUM(B331:E331))</f>
        <v/>
      </c>
      <c r="G331" s="19" t="n"/>
      <c r="H331" s="20">
        <f>IF(OR(A331="",G331=""),"",G331-F331)</f>
        <v/>
      </c>
      <c r="I331" s="21">
        <f>IF(OR(A331="",G331="",G331=0),"",H331/G331)</f>
        <v/>
      </c>
      <c r="J331" s="18" t="n"/>
      <c r="K331" s="22">
        <f>IF(I331="","",IF(I331&gt;=$N$3,"Yes","No"))</f>
        <v/>
      </c>
    </row>
    <row r="332">
      <c r="A332" s="18" t="n"/>
      <c r="B332" s="19" t="n"/>
      <c r="C332" s="19" t="n"/>
      <c r="D332" s="19" t="n"/>
      <c r="E332" s="19" t="n"/>
      <c r="F332" s="20">
        <f>IF(A332="","",SUM(B332:E332))</f>
        <v/>
      </c>
      <c r="G332" s="19" t="n"/>
      <c r="H332" s="20">
        <f>IF(OR(A332="",G332=""),"",G332-F332)</f>
        <v/>
      </c>
      <c r="I332" s="21">
        <f>IF(OR(A332="",G332="",G332=0),"",H332/G332)</f>
        <v/>
      </c>
      <c r="J332" s="18" t="n"/>
      <c r="K332" s="22">
        <f>IF(I332="","",IF(I332&gt;=$N$3,"Yes","No"))</f>
        <v/>
      </c>
    </row>
    <row r="333">
      <c r="A333" s="18" t="n"/>
      <c r="B333" s="19" t="n"/>
      <c r="C333" s="19" t="n"/>
      <c r="D333" s="19" t="n"/>
      <c r="E333" s="19" t="n"/>
      <c r="F333" s="20">
        <f>IF(A333="","",SUM(B333:E333))</f>
        <v/>
      </c>
      <c r="G333" s="19" t="n"/>
      <c r="H333" s="20">
        <f>IF(OR(A333="",G333=""),"",G333-F333)</f>
        <v/>
      </c>
      <c r="I333" s="21">
        <f>IF(OR(A333="",G333="",G333=0),"",H333/G333)</f>
        <v/>
      </c>
      <c r="J333" s="18" t="n"/>
      <c r="K333" s="22">
        <f>IF(I333="","",IF(I333&gt;=$N$3,"Yes","No"))</f>
        <v/>
      </c>
    </row>
    <row r="334">
      <c r="A334" s="18" t="n"/>
      <c r="B334" s="19" t="n"/>
      <c r="C334" s="19" t="n"/>
      <c r="D334" s="19" t="n"/>
      <c r="E334" s="19" t="n"/>
      <c r="F334" s="20">
        <f>IF(A334="","",SUM(B334:E334))</f>
        <v/>
      </c>
      <c r="G334" s="19" t="n"/>
      <c r="H334" s="20">
        <f>IF(OR(A334="",G334=""),"",G334-F334)</f>
        <v/>
      </c>
      <c r="I334" s="21">
        <f>IF(OR(A334="",G334="",G334=0),"",H334/G334)</f>
        <v/>
      </c>
      <c r="J334" s="18" t="n"/>
      <c r="K334" s="22">
        <f>IF(I334="","",IF(I334&gt;=$N$3,"Yes","No"))</f>
        <v/>
      </c>
    </row>
    <row r="335">
      <c r="A335" s="18" t="n"/>
      <c r="B335" s="19" t="n"/>
      <c r="C335" s="19" t="n"/>
      <c r="D335" s="19" t="n"/>
      <c r="E335" s="19" t="n"/>
      <c r="F335" s="20">
        <f>IF(A335="","",SUM(B335:E335))</f>
        <v/>
      </c>
      <c r="G335" s="19" t="n"/>
      <c r="H335" s="20">
        <f>IF(OR(A335="",G335=""),"",G335-F335)</f>
        <v/>
      </c>
      <c r="I335" s="21">
        <f>IF(OR(A335="",G335="",G335=0),"",H335/G335)</f>
        <v/>
      </c>
      <c r="J335" s="18" t="n"/>
      <c r="K335" s="22">
        <f>IF(I335="","",IF(I335&gt;=$N$3,"Yes","No"))</f>
        <v/>
      </c>
    </row>
    <row r="336">
      <c r="A336" s="18" t="n"/>
      <c r="B336" s="19" t="n"/>
      <c r="C336" s="19" t="n"/>
      <c r="D336" s="19" t="n"/>
      <c r="E336" s="19" t="n"/>
      <c r="F336" s="20">
        <f>IF(A336="","",SUM(B336:E336))</f>
        <v/>
      </c>
      <c r="G336" s="19" t="n"/>
      <c r="H336" s="20">
        <f>IF(OR(A336="",G336=""),"",G336-F336)</f>
        <v/>
      </c>
      <c r="I336" s="21">
        <f>IF(OR(A336="",G336="",G336=0),"",H336/G336)</f>
        <v/>
      </c>
      <c r="J336" s="18" t="n"/>
      <c r="K336" s="22">
        <f>IF(I336="","",IF(I336&gt;=$N$3,"Yes","No"))</f>
        <v/>
      </c>
    </row>
    <row r="337">
      <c r="A337" s="18" t="n"/>
      <c r="B337" s="19" t="n"/>
      <c r="C337" s="19" t="n"/>
      <c r="D337" s="19" t="n"/>
      <c r="E337" s="19" t="n"/>
      <c r="F337" s="20">
        <f>IF(A337="","",SUM(B337:E337))</f>
        <v/>
      </c>
      <c r="G337" s="19" t="n"/>
      <c r="H337" s="20">
        <f>IF(OR(A337="",G337=""),"",G337-F337)</f>
        <v/>
      </c>
      <c r="I337" s="21">
        <f>IF(OR(A337="",G337="",G337=0),"",H337/G337)</f>
        <v/>
      </c>
      <c r="J337" s="18" t="n"/>
      <c r="K337" s="22">
        <f>IF(I337="","",IF(I337&gt;=$N$3,"Yes","No"))</f>
        <v/>
      </c>
    </row>
    <row r="338">
      <c r="A338" s="18" t="n"/>
      <c r="B338" s="19" t="n"/>
      <c r="C338" s="19" t="n"/>
      <c r="D338" s="19" t="n"/>
      <c r="E338" s="19" t="n"/>
      <c r="F338" s="20">
        <f>IF(A338="","",SUM(B338:E338))</f>
        <v/>
      </c>
      <c r="G338" s="19" t="n"/>
      <c r="H338" s="20">
        <f>IF(OR(A338="",G338=""),"",G338-F338)</f>
        <v/>
      </c>
      <c r="I338" s="21">
        <f>IF(OR(A338="",G338="",G338=0),"",H338/G338)</f>
        <v/>
      </c>
      <c r="J338" s="18" t="n"/>
      <c r="K338" s="22">
        <f>IF(I338="","",IF(I338&gt;=$N$3,"Yes","No"))</f>
        <v/>
      </c>
    </row>
    <row r="339">
      <c r="A339" s="18" t="n"/>
      <c r="B339" s="19" t="n"/>
      <c r="C339" s="19" t="n"/>
      <c r="D339" s="19" t="n"/>
      <c r="E339" s="19" t="n"/>
      <c r="F339" s="20">
        <f>IF(A339="","",SUM(B339:E339))</f>
        <v/>
      </c>
      <c r="G339" s="19" t="n"/>
      <c r="H339" s="20">
        <f>IF(OR(A339="",G339=""),"",G339-F339)</f>
        <v/>
      </c>
      <c r="I339" s="21">
        <f>IF(OR(A339="",G339="",G339=0),"",H339/G339)</f>
        <v/>
      </c>
      <c r="J339" s="18" t="n"/>
      <c r="K339" s="22">
        <f>IF(I339="","",IF(I339&gt;=$N$3,"Yes","No"))</f>
        <v/>
      </c>
    </row>
    <row r="340">
      <c r="A340" s="18" t="n"/>
      <c r="B340" s="19" t="n"/>
      <c r="C340" s="19" t="n"/>
      <c r="D340" s="19" t="n"/>
      <c r="E340" s="19" t="n"/>
      <c r="F340" s="20">
        <f>IF(A340="","",SUM(B340:E340))</f>
        <v/>
      </c>
      <c r="G340" s="19" t="n"/>
      <c r="H340" s="20">
        <f>IF(OR(A340="",G340=""),"",G340-F340)</f>
        <v/>
      </c>
      <c r="I340" s="21">
        <f>IF(OR(A340="",G340="",G340=0),"",H340/G340)</f>
        <v/>
      </c>
      <c r="J340" s="18" t="n"/>
      <c r="K340" s="22">
        <f>IF(I340="","",IF(I340&gt;=$N$3,"Yes","No"))</f>
        <v/>
      </c>
    </row>
    <row r="341">
      <c r="A341" s="18" t="n"/>
      <c r="B341" s="19" t="n"/>
      <c r="C341" s="19" t="n"/>
      <c r="D341" s="19" t="n"/>
      <c r="E341" s="19" t="n"/>
      <c r="F341" s="20">
        <f>IF(A341="","",SUM(B341:E341))</f>
        <v/>
      </c>
      <c r="G341" s="19" t="n"/>
      <c r="H341" s="20">
        <f>IF(OR(A341="",G341=""),"",G341-F341)</f>
        <v/>
      </c>
      <c r="I341" s="21">
        <f>IF(OR(A341="",G341="",G341=0),"",H341/G341)</f>
        <v/>
      </c>
      <c r="J341" s="18" t="n"/>
      <c r="K341" s="22">
        <f>IF(I341="","",IF(I341&gt;=$N$3,"Yes","No"))</f>
        <v/>
      </c>
    </row>
    <row r="342">
      <c r="A342" s="18" t="n"/>
      <c r="B342" s="19" t="n"/>
      <c r="C342" s="19" t="n"/>
      <c r="D342" s="19" t="n"/>
      <c r="E342" s="19" t="n"/>
      <c r="F342" s="20">
        <f>IF(A342="","",SUM(B342:E342))</f>
        <v/>
      </c>
      <c r="G342" s="19" t="n"/>
      <c r="H342" s="20">
        <f>IF(OR(A342="",G342=""),"",G342-F342)</f>
        <v/>
      </c>
      <c r="I342" s="21">
        <f>IF(OR(A342="",G342="",G342=0),"",H342/G342)</f>
        <v/>
      </c>
      <c r="J342" s="18" t="n"/>
      <c r="K342" s="22">
        <f>IF(I342="","",IF(I342&gt;=$N$3,"Yes","No"))</f>
        <v/>
      </c>
    </row>
    <row r="343">
      <c r="A343" s="18" t="n"/>
      <c r="B343" s="19" t="n"/>
      <c r="C343" s="19" t="n"/>
      <c r="D343" s="19" t="n"/>
      <c r="E343" s="19" t="n"/>
      <c r="F343" s="20">
        <f>IF(A343="","",SUM(B343:E343))</f>
        <v/>
      </c>
      <c r="G343" s="19" t="n"/>
      <c r="H343" s="20">
        <f>IF(OR(A343="",G343=""),"",G343-F343)</f>
        <v/>
      </c>
      <c r="I343" s="21">
        <f>IF(OR(A343="",G343="",G343=0),"",H343/G343)</f>
        <v/>
      </c>
      <c r="J343" s="18" t="n"/>
      <c r="K343" s="22">
        <f>IF(I343="","",IF(I343&gt;=$N$3,"Yes","No"))</f>
        <v/>
      </c>
    </row>
    <row r="344">
      <c r="A344" s="18" t="n"/>
      <c r="B344" s="19" t="n"/>
      <c r="C344" s="19" t="n"/>
      <c r="D344" s="19" t="n"/>
      <c r="E344" s="19" t="n"/>
      <c r="F344" s="20">
        <f>IF(A344="","",SUM(B344:E344))</f>
        <v/>
      </c>
      <c r="G344" s="19" t="n"/>
      <c r="H344" s="20">
        <f>IF(OR(A344="",G344=""),"",G344-F344)</f>
        <v/>
      </c>
      <c r="I344" s="21">
        <f>IF(OR(A344="",G344="",G344=0),"",H344/G344)</f>
        <v/>
      </c>
      <c r="J344" s="18" t="n"/>
      <c r="K344" s="22">
        <f>IF(I344="","",IF(I344&gt;=$N$3,"Yes","No"))</f>
        <v/>
      </c>
    </row>
    <row r="345">
      <c r="A345" s="18" t="n"/>
      <c r="B345" s="19" t="n"/>
      <c r="C345" s="19" t="n"/>
      <c r="D345" s="19" t="n"/>
      <c r="E345" s="19" t="n"/>
      <c r="F345" s="20">
        <f>IF(A345="","",SUM(B345:E345))</f>
        <v/>
      </c>
      <c r="G345" s="19" t="n"/>
      <c r="H345" s="20">
        <f>IF(OR(A345="",G345=""),"",G345-F345)</f>
        <v/>
      </c>
      <c r="I345" s="21">
        <f>IF(OR(A345="",G345="",G345=0),"",H345/G345)</f>
        <v/>
      </c>
      <c r="J345" s="18" t="n"/>
      <c r="K345" s="22">
        <f>IF(I345="","",IF(I345&gt;=$N$3,"Yes","No"))</f>
        <v/>
      </c>
    </row>
    <row r="346">
      <c r="A346" s="18" t="n"/>
      <c r="B346" s="19" t="n"/>
      <c r="C346" s="19" t="n"/>
      <c r="D346" s="19" t="n"/>
      <c r="E346" s="19" t="n"/>
      <c r="F346" s="20">
        <f>IF(A346="","",SUM(B346:E346))</f>
        <v/>
      </c>
      <c r="G346" s="19" t="n"/>
      <c r="H346" s="20">
        <f>IF(OR(A346="",G346=""),"",G346-F346)</f>
        <v/>
      </c>
      <c r="I346" s="21">
        <f>IF(OR(A346="",G346="",G346=0),"",H346/G346)</f>
        <v/>
      </c>
      <c r="J346" s="18" t="n"/>
      <c r="K346" s="22">
        <f>IF(I346="","",IF(I346&gt;=$N$3,"Yes","No"))</f>
        <v/>
      </c>
    </row>
    <row r="347">
      <c r="A347" s="18" t="n"/>
      <c r="B347" s="19" t="n"/>
      <c r="C347" s="19" t="n"/>
      <c r="D347" s="19" t="n"/>
      <c r="E347" s="19" t="n"/>
      <c r="F347" s="20">
        <f>IF(A347="","",SUM(B347:E347))</f>
        <v/>
      </c>
      <c r="G347" s="19" t="n"/>
      <c r="H347" s="20">
        <f>IF(OR(A347="",G347=""),"",G347-F347)</f>
        <v/>
      </c>
      <c r="I347" s="21">
        <f>IF(OR(A347="",G347="",G347=0),"",H347/G347)</f>
        <v/>
      </c>
      <c r="J347" s="18" t="n"/>
      <c r="K347" s="22">
        <f>IF(I347="","",IF(I347&gt;=$N$3,"Yes","No"))</f>
        <v/>
      </c>
    </row>
    <row r="348">
      <c r="A348" s="18" t="n"/>
      <c r="B348" s="19" t="n"/>
      <c r="C348" s="19" t="n"/>
      <c r="D348" s="19" t="n"/>
      <c r="E348" s="19" t="n"/>
      <c r="F348" s="20">
        <f>IF(A348="","",SUM(B348:E348))</f>
        <v/>
      </c>
      <c r="G348" s="19" t="n"/>
      <c r="H348" s="20">
        <f>IF(OR(A348="",G348=""),"",G348-F348)</f>
        <v/>
      </c>
      <c r="I348" s="21">
        <f>IF(OR(A348="",G348="",G348=0),"",H348/G348)</f>
        <v/>
      </c>
      <c r="J348" s="18" t="n"/>
      <c r="K348" s="22">
        <f>IF(I348="","",IF(I348&gt;=$N$3,"Yes","No"))</f>
        <v/>
      </c>
    </row>
    <row r="349">
      <c r="A349" s="18" t="n"/>
      <c r="B349" s="19" t="n"/>
      <c r="C349" s="19" t="n"/>
      <c r="D349" s="19" t="n"/>
      <c r="E349" s="19" t="n"/>
      <c r="F349" s="20">
        <f>IF(A349="","",SUM(B349:E349))</f>
        <v/>
      </c>
      <c r="G349" s="19" t="n"/>
      <c r="H349" s="20">
        <f>IF(OR(A349="",G349=""),"",G349-F349)</f>
        <v/>
      </c>
      <c r="I349" s="21">
        <f>IF(OR(A349="",G349="",G349=0),"",H349/G349)</f>
        <v/>
      </c>
      <c r="J349" s="18" t="n"/>
      <c r="K349" s="22">
        <f>IF(I349="","",IF(I349&gt;=$N$3,"Yes","No"))</f>
        <v/>
      </c>
    </row>
    <row r="350">
      <c r="A350" s="18" t="n"/>
      <c r="B350" s="19" t="n"/>
      <c r="C350" s="19" t="n"/>
      <c r="D350" s="19" t="n"/>
      <c r="E350" s="19" t="n"/>
      <c r="F350" s="20">
        <f>IF(A350="","",SUM(B350:E350))</f>
        <v/>
      </c>
      <c r="G350" s="19" t="n"/>
      <c r="H350" s="20">
        <f>IF(OR(A350="",G350=""),"",G350-F350)</f>
        <v/>
      </c>
      <c r="I350" s="21">
        <f>IF(OR(A350="",G350="",G350=0),"",H350/G350)</f>
        <v/>
      </c>
      <c r="J350" s="18" t="n"/>
      <c r="K350" s="22">
        <f>IF(I350="","",IF(I350&gt;=$N$3,"Yes","No"))</f>
        <v/>
      </c>
    </row>
    <row r="351">
      <c r="A351" s="18" t="n"/>
      <c r="B351" s="19" t="n"/>
      <c r="C351" s="19" t="n"/>
      <c r="D351" s="19" t="n"/>
      <c r="E351" s="19" t="n"/>
      <c r="F351" s="20">
        <f>IF(A351="","",SUM(B351:E351))</f>
        <v/>
      </c>
      <c r="G351" s="19" t="n"/>
      <c r="H351" s="20">
        <f>IF(OR(A351="",G351=""),"",G351-F351)</f>
        <v/>
      </c>
      <c r="I351" s="21">
        <f>IF(OR(A351="",G351="",G351=0),"",H351/G351)</f>
        <v/>
      </c>
      <c r="J351" s="18" t="n"/>
      <c r="K351" s="22">
        <f>IF(I351="","",IF(I351&gt;=$N$3,"Yes","No"))</f>
        <v/>
      </c>
    </row>
    <row r="352">
      <c r="A352" s="18" t="n"/>
      <c r="B352" s="19" t="n"/>
      <c r="C352" s="19" t="n"/>
      <c r="D352" s="19" t="n"/>
      <c r="E352" s="19" t="n"/>
      <c r="F352" s="20">
        <f>IF(A352="","",SUM(B352:E352))</f>
        <v/>
      </c>
      <c r="G352" s="19" t="n"/>
      <c r="H352" s="20">
        <f>IF(OR(A352="",G352=""),"",G352-F352)</f>
        <v/>
      </c>
      <c r="I352" s="21">
        <f>IF(OR(A352="",G352="",G352=0),"",H352/G352)</f>
        <v/>
      </c>
      <c r="J352" s="18" t="n"/>
      <c r="K352" s="22">
        <f>IF(I352="","",IF(I352&gt;=$N$3,"Yes","No"))</f>
        <v/>
      </c>
    </row>
    <row r="353">
      <c r="A353" s="18" t="n"/>
      <c r="B353" s="19" t="n"/>
      <c r="C353" s="19" t="n"/>
      <c r="D353" s="19" t="n"/>
      <c r="E353" s="19" t="n"/>
      <c r="F353" s="20">
        <f>IF(A353="","",SUM(B353:E353))</f>
        <v/>
      </c>
      <c r="G353" s="19" t="n"/>
      <c r="H353" s="20">
        <f>IF(OR(A353="",G353=""),"",G353-F353)</f>
        <v/>
      </c>
      <c r="I353" s="21">
        <f>IF(OR(A353="",G353="",G353=0),"",H353/G353)</f>
        <v/>
      </c>
      <c r="J353" s="18" t="n"/>
      <c r="K353" s="22">
        <f>IF(I353="","",IF(I353&gt;=$N$3,"Yes","No"))</f>
        <v/>
      </c>
    </row>
    <row r="354">
      <c r="A354" s="18" t="n"/>
      <c r="B354" s="19" t="n"/>
      <c r="C354" s="19" t="n"/>
      <c r="D354" s="19" t="n"/>
      <c r="E354" s="19" t="n"/>
      <c r="F354" s="20">
        <f>IF(A354="","",SUM(B354:E354))</f>
        <v/>
      </c>
      <c r="G354" s="19" t="n"/>
      <c r="H354" s="20">
        <f>IF(OR(A354="",G354=""),"",G354-F354)</f>
        <v/>
      </c>
      <c r="I354" s="21">
        <f>IF(OR(A354="",G354="",G354=0),"",H354/G354)</f>
        <v/>
      </c>
      <c r="J354" s="18" t="n"/>
      <c r="K354" s="22">
        <f>IF(I354="","",IF(I354&gt;=$N$3,"Yes","No"))</f>
        <v/>
      </c>
    </row>
    <row r="355">
      <c r="A355" s="18" t="n"/>
      <c r="B355" s="19" t="n"/>
      <c r="C355" s="19" t="n"/>
      <c r="D355" s="19" t="n"/>
      <c r="E355" s="19" t="n"/>
      <c r="F355" s="20">
        <f>IF(A355="","",SUM(B355:E355))</f>
        <v/>
      </c>
      <c r="G355" s="19" t="n"/>
      <c r="H355" s="20">
        <f>IF(OR(A355="",G355=""),"",G355-F355)</f>
        <v/>
      </c>
      <c r="I355" s="21">
        <f>IF(OR(A355="",G355="",G355=0),"",H355/G355)</f>
        <v/>
      </c>
      <c r="J355" s="18" t="n"/>
      <c r="K355" s="22">
        <f>IF(I355="","",IF(I355&gt;=$N$3,"Yes","No"))</f>
        <v/>
      </c>
    </row>
    <row r="356">
      <c r="A356" s="18" t="n"/>
      <c r="B356" s="19" t="n"/>
      <c r="C356" s="19" t="n"/>
      <c r="D356" s="19" t="n"/>
      <c r="E356" s="19" t="n"/>
      <c r="F356" s="20">
        <f>IF(A356="","",SUM(B356:E356))</f>
        <v/>
      </c>
      <c r="G356" s="19" t="n"/>
      <c r="H356" s="20">
        <f>IF(OR(A356="",G356=""),"",G356-F356)</f>
        <v/>
      </c>
      <c r="I356" s="21">
        <f>IF(OR(A356="",G356="",G356=0),"",H356/G356)</f>
        <v/>
      </c>
      <c r="J356" s="18" t="n"/>
      <c r="K356" s="22">
        <f>IF(I356="","",IF(I356&gt;=$N$3,"Yes","No"))</f>
        <v/>
      </c>
    </row>
    <row r="357">
      <c r="A357" s="18" t="n"/>
      <c r="B357" s="19" t="n"/>
      <c r="C357" s="19" t="n"/>
      <c r="D357" s="19" t="n"/>
      <c r="E357" s="19" t="n"/>
      <c r="F357" s="20">
        <f>IF(A357="","",SUM(B357:E357))</f>
        <v/>
      </c>
      <c r="G357" s="19" t="n"/>
      <c r="H357" s="20">
        <f>IF(OR(A357="",G357=""),"",G357-F357)</f>
        <v/>
      </c>
      <c r="I357" s="21">
        <f>IF(OR(A357="",G357="",G357=0),"",H357/G357)</f>
        <v/>
      </c>
      <c r="J357" s="18" t="n"/>
      <c r="K357" s="22">
        <f>IF(I357="","",IF(I357&gt;=$N$3,"Yes","No"))</f>
        <v/>
      </c>
    </row>
    <row r="358">
      <c r="A358" s="18" t="n"/>
      <c r="B358" s="19" t="n"/>
      <c r="C358" s="19" t="n"/>
      <c r="D358" s="19" t="n"/>
      <c r="E358" s="19" t="n"/>
      <c r="F358" s="20">
        <f>IF(A358="","",SUM(B358:E358))</f>
        <v/>
      </c>
      <c r="G358" s="19" t="n"/>
      <c r="H358" s="20">
        <f>IF(OR(A358="",G358=""),"",G358-F358)</f>
        <v/>
      </c>
      <c r="I358" s="21">
        <f>IF(OR(A358="",G358="",G358=0),"",H358/G358)</f>
        <v/>
      </c>
      <c r="J358" s="18" t="n"/>
      <c r="K358" s="22">
        <f>IF(I358="","",IF(I358&gt;=$N$3,"Yes","No"))</f>
        <v/>
      </c>
    </row>
    <row r="359">
      <c r="A359" s="18" t="n"/>
      <c r="B359" s="19" t="n"/>
      <c r="C359" s="19" t="n"/>
      <c r="D359" s="19" t="n"/>
      <c r="E359" s="19" t="n"/>
      <c r="F359" s="20">
        <f>IF(A359="","",SUM(B359:E359))</f>
        <v/>
      </c>
      <c r="G359" s="19" t="n"/>
      <c r="H359" s="20">
        <f>IF(OR(A359="",G359=""),"",G359-F359)</f>
        <v/>
      </c>
      <c r="I359" s="21">
        <f>IF(OR(A359="",G359="",G359=0),"",H359/G359)</f>
        <v/>
      </c>
      <c r="J359" s="18" t="n"/>
      <c r="K359" s="22">
        <f>IF(I359="","",IF(I359&gt;=$N$3,"Yes","No"))</f>
        <v/>
      </c>
    </row>
    <row r="360">
      <c r="A360" s="18" t="n"/>
      <c r="B360" s="19" t="n"/>
      <c r="C360" s="19" t="n"/>
      <c r="D360" s="19" t="n"/>
      <c r="E360" s="19" t="n"/>
      <c r="F360" s="20">
        <f>IF(A360="","",SUM(B360:E360))</f>
        <v/>
      </c>
      <c r="G360" s="19" t="n"/>
      <c r="H360" s="20">
        <f>IF(OR(A360="",G360=""),"",G360-F360)</f>
        <v/>
      </c>
      <c r="I360" s="21">
        <f>IF(OR(A360="",G360="",G360=0),"",H360/G360)</f>
        <v/>
      </c>
      <c r="J360" s="18" t="n"/>
      <c r="K360" s="22">
        <f>IF(I360="","",IF(I360&gt;=$N$3,"Yes","No"))</f>
        <v/>
      </c>
    </row>
    <row r="361">
      <c r="A361" s="18" t="n"/>
      <c r="B361" s="19" t="n"/>
      <c r="C361" s="19" t="n"/>
      <c r="D361" s="19" t="n"/>
      <c r="E361" s="19" t="n"/>
      <c r="F361" s="20">
        <f>IF(A361="","",SUM(B361:E361))</f>
        <v/>
      </c>
      <c r="G361" s="19" t="n"/>
      <c r="H361" s="20">
        <f>IF(OR(A361="",G361=""),"",G361-F361)</f>
        <v/>
      </c>
      <c r="I361" s="21">
        <f>IF(OR(A361="",G361="",G361=0),"",H361/G361)</f>
        <v/>
      </c>
      <c r="J361" s="18" t="n"/>
      <c r="K361" s="22">
        <f>IF(I361="","",IF(I361&gt;=$N$3,"Yes","No"))</f>
        <v/>
      </c>
    </row>
    <row r="362">
      <c r="A362" s="18" t="n"/>
      <c r="B362" s="19" t="n"/>
      <c r="C362" s="19" t="n"/>
      <c r="D362" s="19" t="n"/>
      <c r="E362" s="19" t="n"/>
      <c r="F362" s="20">
        <f>IF(A362="","",SUM(B362:E362))</f>
        <v/>
      </c>
      <c r="G362" s="19" t="n"/>
      <c r="H362" s="20">
        <f>IF(OR(A362="",G362=""),"",G362-F362)</f>
        <v/>
      </c>
      <c r="I362" s="21">
        <f>IF(OR(A362="",G362="",G362=0),"",H362/G362)</f>
        <v/>
      </c>
      <c r="J362" s="18" t="n"/>
      <c r="K362" s="22">
        <f>IF(I362="","",IF(I362&gt;=$N$3,"Yes","No"))</f>
        <v/>
      </c>
    </row>
    <row r="363">
      <c r="A363" s="18" t="n"/>
      <c r="B363" s="19" t="n"/>
      <c r="C363" s="19" t="n"/>
      <c r="D363" s="19" t="n"/>
      <c r="E363" s="19" t="n"/>
      <c r="F363" s="20">
        <f>IF(A363="","",SUM(B363:E363))</f>
        <v/>
      </c>
      <c r="G363" s="19" t="n"/>
      <c r="H363" s="20">
        <f>IF(OR(A363="",G363=""),"",G363-F363)</f>
        <v/>
      </c>
      <c r="I363" s="21">
        <f>IF(OR(A363="",G363="",G363=0),"",H363/G363)</f>
        <v/>
      </c>
      <c r="J363" s="18" t="n"/>
      <c r="K363" s="22">
        <f>IF(I363="","",IF(I363&gt;=$N$3,"Yes","No"))</f>
        <v/>
      </c>
    </row>
    <row r="364">
      <c r="A364" s="18" t="n"/>
      <c r="B364" s="19" t="n"/>
      <c r="C364" s="19" t="n"/>
      <c r="D364" s="19" t="n"/>
      <c r="E364" s="19" t="n"/>
      <c r="F364" s="20">
        <f>IF(A364="","",SUM(B364:E364))</f>
        <v/>
      </c>
      <c r="G364" s="19" t="n"/>
      <c r="H364" s="20">
        <f>IF(OR(A364="",G364=""),"",G364-F364)</f>
        <v/>
      </c>
      <c r="I364" s="21">
        <f>IF(OR(A364="",G364="",G364=0),"",H364/G364)</f>
        <v/>
      </c>
      <c r="J364" s="18" t="n"/>
      <c r="K364" s="22">
        <f>IF(I364="","",IF(I364&gt;=$N$3,"Yes","No"))</f>
        <v/>
      </c>
    </row>
    <row r="365">
      <c r="A365" s="18" t="n"/>
      <c r="B365" s="19" t="n"/>
      <c r="C365" s="19" t="n"/>
      <c r="D365" s="19" t="n"/>
      <c r="E365" s="19" t="n"/>
      <c r="F365" s="20">
        <f>IF(A365="","",SUM(B365:E365))</f>
        <v/>
      </c>
      <c r="G365" s="19" t="n"/>
      <c r="H365" s="20">
        <f>IF(OR(A365="",G365=""),"",G365-F365)</f>
        <v/>
      </c>
      <c r="I365" s="21">
        <f>IF(OR(A365="",G365="",G365=0),"",H365/G365)</f>
        <v/>
      </c>
      <c r="J365" s="18" t="n"/>
      <c r="K365" s="22">
        <f>IF(I365="","",IF(I365&gt;=$N$3,"Yes","No"))</f>
        <v/>
      </c>
    </row>
    <row r="366">
      <c r="A366" s="18" t="n"/>
      <c r="B366" s="19" t="n"/>
      <c r="C366" s="19" t="n"/>
      <c r="D366" s="19" t="n"/>
      <c r="E366" s="19" t="n"/>
      <c r="F366" s="20">
        <f>IF(A366="","",SUM(B366:E366))</f>
        <v/>
      </c>
      <c r="G366" s="19" t="n"/>
      <c r="H366" s="20">
        <f>IF(OR(A366="",G366=""),"",G366-F366)</f>
        <v/>
      </c>
      <c r="I366" s="21">
        <f>IF(OR(A366="",G366="",G366=0),"",H366/G366)</f>
        <v/>
      </c>
      <c r="J366" s="18" t="n"/>
      <c r="K366" s="22">
        <f>IF(I366="","",IF(I366&gt;=$N$3,"Yes","No"))</f>
        <v/>
      </c>
    </row>
    <row r="367">
      <c r="A367" s="18" t="n"/>
      <c r="B367" s="19" t="n"/>
      <c r="C367" s="19" t="n"/>
      <c r="D367" s="19" t="n"/>
      <c r="E367" s="19" t="n"/>
      <c r="F367" s="20">
        <f>IF(A367="","",SUM(B367:E367))</f>
        <v/>
      </c>
      <c r="G367" s="19" t="n"/>
      <c r="H367" s="20">
        <f>IF(OR(A367="",G367=""),"",G367-F367)</f>
        <v/>
      </c>
      <c r="I367" s="21">
        <f>IF(OR(A367="",G367="",G367=0),"",H367/G367)</f>
        <v/>
      </c>
      <c r="J367" s="18" t="n"/>
      <c r="K367" s="22">
        <f>IF(I367="","",IF(I367&gt;=$N$3,"Yes","No"))</f>
        <v/>
      </c>
    </row>
    <row r="368">
      <c r="A368" s="18" t="n"/>
      <c r="B368" s="19" t="n"/>
      <c r="C368" s="19" t="n"/>
      <c r="D368" s="19" t="n"/>
      <c r="E368" s="19" t="n"/>
      <c r="F368" s="20">
        <f>IF(A368="","",SUM(B368:E368))</f>
        <v/>
      </c>
      <c r="G368" s="19" t="n"/>
      <c r="H368" s="20">
        <f>IF(OR(A368="",G368=""),"",G368-F368)</f>
        <v/>
      </c>
      <c r="I368" s="21">
        <f>IF(OR(A368="",G368="",G368=0),"",H368/G368)</f>
        <v/>
      </c>
      <c r="J368" s="18" t="n"/>
      <c r="K368" s="22">
        <f>IF(I368="","",IF(I368&gt;=$N$3,"Yes","No"))</f>
        <v/>
      </c>
    </row>
    <row r="369">
      <c r="A369" s="18" t="n"/>
      <c r="B369" s="19" t="n"/>
      <c r="C369" s="19" t="n"/>
      <c r="D369" s="19" t="n"/>
      <c r="E369" s="19" t="n"/>
      <c r="F369" s="20">
        <f>IF(A369="","",SUM(B369:E369))</f>
        <v/>
      </c>
      <c r="G369" s="19" t="n"/>
      <c r="H369" s="20">
        <f>IF(OR(A369="",G369=""),"",G369-F369)</f>
        <v/>
      </c>
      <c r="I369" s="21">
        <f>IF(OR(A369="",G369="",G369=0),"",H369/G369)</f>
        <v/>
      </c>
      <c r="J369" s="18" t="n"/>
      <c r="K369" s="22">
        <f>IF(I369="","",IF(I369&gt;=$N$3,"Yes","No"))</f>
        <v/>
      </c>
    </row>
    <row r="370">
      <c r="A370" s="18" t="n"/>
      <c r="B370" s="19" t="n"/>
      <c r="C370" s="19" t="n"/>
      <c r="D370" s="19" t="n"/>
      <c r="E370" s="19" t="n"/>
      <c r="F370" s="20">
        <f>IF(A370="","",SUM(B370:E370))</f>
        <v/>
      </c>
      <c r="G370" s="19" t="n"/>
      <c r="H370" s="20">
        <f>IF(OR(A370="",G370=""),"",G370-F370)</f>
        <v/>
      </c>
      <c r="I370" s="21">
        <f>IF(OR(A370="",G370="",G370=0),"",H370/G370)</f>
        <v/>
      </c>
      <c r="J370" s="18" t="n"/>
      <c r="K370" s="22">
        <f>IF(I370="","",IF(I370&gt;=$N$3,"Yes","No"))</f>
        <v/>
      </c>
    </row>
    <row r="371">
      <c r="A371" s="18" t="n"/>
      <c r="B371" s="19" t="n"/>
      <c r="C371" s="19" t="n"/>
      <c r="D371" s="19" t="n"/>
      <c r="E371" s="19" t="n"/>
      <c r="F371" s="20">
        <f>IF(A371="","",SUM(B371:E371))</f>
        <v/>
      </c>
      <c r="G371" s="19" t="n"/>
      <c r="H371" s="20">
        <f>IF(OR(A371="",G371=""),"",G371-F371)</f>
        <v/>
      </c>
      <c r="I371" s="21">
        <f>IF(OR(A371="",G371="",G371=0),"",H371/G371)</f>
        <v/>
      </c>
      <c r="J371" s="18" t="n"/>
      <c r="K371" s="22">
        <f>IF(I371="","",IF(I371&gt;=$N$3,"Yes","No"))</f>
        <v/>
      </c>
    </row>
    <row r="372">
      <c r="A372" s="18" t="n"/>
      <c r="B372" s="19" t="n"/>
      <c r="C372" s="19" t="n"/>
      <c r="D372" s="19" t="n"/>
      <c r="E372" s="19" t="n"/>
      <c r="F372" s="20">
        <f>IF(A372="","",SUM(B372:E372))</f>
        <v/>
      </c>
      <c r="G372" s="19" t="n"/>
      <c r="H372" s="20">
        <f>IF(OR(A372="",G372=""),"",G372-F372)</f>
        <v/>
      </c>
      <c r="I372" s="21">
        <f>IF(OR(A372="",G372="",G372=0),"",H372/G372)</f>
        <v/>
      </c>
      <c r="J372" s="18" t="n"/>
      <c r="K372" s="22">
        <f>IF(I372="","",IF(I372&gt;=$N$3,"Yes","No"))</f>
        <v/>
      </c>
    </row>
    <row r="373">
      <c r="A373" s="18" t="n"/>
      <c r="B373" s="19" t="n"/>
      <c r="C373" s="19" t="n"/>
      <c r="D373" s="19" t="n"/>
      <c r="E373" s="19" t="n"/>
      <c r="F373" s="20">
        <f>IF(A373="","",SUM(B373:E373))</f>
        <v/>
      </c>
      <c r="G373" s="19" t="n"/>
      <c r="H373" s="20">
        <f>IF(OR(A373="",G373=""),"",G373-F373)</f>
        <v/>
      </c>
      <c r="I373" s="21">
        <f>IF(OR(A373="",G373="",G373=0),"",H373/G373)</f>
        <v/>
      </c>
      <c r="J373" s="18" t="n"/>
      <c r="K373" s="22">
        <f>IF(I373="","",IF(I373&gt;=$N$3,"Yes","No"))</f>
        <v/>
      </c>
    </row>
    <row r="374">
      <c r="A374" s="18" t="n"/>
      <c r="B374" s="19" t="n"/>
      <c r="C374" s="19" t="n"/>
      <c r="D374" s="19" t="n"/>
      <c r="E374" s="19" t="n"/>
      <c r="F374" s="20">
        <f>IF(A374="","",SUM(B374:E374))</f>
        <v/>
      </c>
      <c r="G374" s="19" t="n"/>
      <c r="H374" s="20">
        <f>IF(OR(A374="",G374=""),"",G374-F374)</f>
        <v/>
      </c>
      <c r="I374" s="21">
        <f>IF(OR(A374="",G374="",G374=0),"",H374/G374)</f>
        <v/>
      </c>
      <c r="J374" s="18" t="n"/>
      <c r="K374" s="22">
        <f>IF(I374="","",IF(I374&gt;=$N$3,"Yes","No"))</f>
        <v/>
      </c>
    </row>
    <row r="375">
      <c r="A375" s="18" t="n"/>
      <c r="B375" s="19" t="n"/>
      <c r="C375" s="19" t="n"/>
      <c r="D375" s="19" t="n"/>
      <c r="E375" s="19" t="n"/>
      <c r="F375" s="20">
        <f>IF(A375="","",SUM(B375:E375))</f>
        <v/>
      </c>
      <c r="G375" s="19" t="n"/>
      <c r="H375" s="20">
        <f>IF(OR(A375="",G375=""),"",G375-F375)</f>
        <v/>
      </c>
      <c r="I375" s="21">
        <f>IF(OR(A375="",G375="",G375=0),"",H375/G375)</f>
        <v/>
      </c>
      <c r="J375" s="18" t="n"/>
      <c r="K375" s="22">
        <f>IF(I375="","",IF(I375&gt;=$N$3,"Yes","No"))</f>
        <v/>
      </c>
    </row>
    <row r="376">
      <c r="A376" s="18" t="n"/>
      <c r="B376" s="19" t="n"/>
      <c r="C376" s="19" t="n"/>
      <c r="D376" s="19" t="n"/>
      <c r="E376" s="19" t="n"/>
      <c r="F376" s="20">
        <f>IF(A376="","",SUM(B376:E376))</f>
        <v/>
      </c>
      <c r="G376" s="19" t="n"/>
      <c r="H376" s="20">
        <f>IF(OR(A376="",G376=""),"",G376-F376)</f>
        <v/>
      </c>
      <c r="I376" s="21">
        <f>IF(OR(A376="",G376="",G376=0),"",H376/G376)</f>
        <v/>
      </c>
      <c r="J376" s="18" t="n"/>
      <c r="K376" s="22">
        <f>IF(I376="","",IF(I376&gt;=$N$3,"Yes","No"))</f>
        <v/>
      </c>
    </row>
    <row r="377">
      <c r="A377" s="18" t="n"/>
      <c r="B377" s="19" t="n"/>
      <c r="C377" s="19" t="n"/>
      <c r="D377" s="19" t="n"/>
      <c r="E377" s="19" t="n"/>
      <c r="F377" s="20">
        <f>IF(A377="","",SUM(B377:E377))</f>
        <v/>
      </c>
      <c r="G377" s="19" t="n"/>
      <c r="H377" s="20">
        <f>IF(OR(A377="",G377=""),"",G377-F377)</f>
        <v/>
      </c>
      <c r="I377" s="21">
        <f>IF(OR(A377="",G377="",G377=0),"",H377/G377)</f>
        <v/>
      </c>
      <c r="J377" s="18" t="n"/>
      <c r="K377" s="22">
        <f>IF(I377="","",IF(I377&gt;=$N$3,"Yes","No"))</f>
        <v/>
      </c>
    </row>
    <row r="378">
      <c r="A378" s="18" t="n"/>
      <c r="B378" s="19" t="n"/>
      <c r="C378" s="19" t="n"/>
      <c r="D378" s="19" t="n"/>
      <c r="E378" s="19" t="n"/>
      <c r="F378" s="20">
        <f>IF(A378="","",SUM(B378:E378))</f>
        <v/>
      </c>
      <c r="G378" s="19" t="n"/>
      <c r="H378" s="20">
        <f>IF(OR(A378="",G378=""),"",G378-F378)</f>
        <v/>
      </c>
      <c r="I378" s="21">
        <f>IF(OR(A378="",G378="",G378=0),"",H378/G378)</f>
        <v/>
      </c>
      <c r="J378" s="18" t="n"/>
      <c r="K378" s="22">
        <f>IF(I378="","",IF(I378&gt;=$N$3,"Yes","No"))</f>
        <v/>
      </c>
    </row>
    <row r="379">
      <c r="A379" s="18" t="n"/>
      <c r="B379" s="19" t="n"/>
      <c r="C379" s="19" t="n"/>
      <c r="D379" s="19" t="n"/>
      <c r="E379" s="19" t="n"/>
      <c r="F379" s="20">
        <f>IF(A379="","",SUM(B379:E379))</f>
        <v/>
      </c>
      <c r="G379" s="19" t="n"/>
      <c r="H379" s="20">
        <f>IF(OR(A379="",G379=""),"",G379-F379)</f>
        <v/>
      </c>
      <c r="I379" s="21">
        <f>IF(OR(A379="",G379="",G379=0),"",H379/G379)</f>
        <v/>
      </c>
      <c r="J379" s="18" t="n"/>
      <c r="K379" s="22">
        <f>IF(I379="","",IF(I379&gt;=$N$3,"Yes","No"))</f>
        <v/>
      </c>
    </row>
    <row r="380">
      <c r="A380" s="18" t="n"/>
      <c r="B380" s="19" t="n"/>
      <c r="C380" s="19" t="n"/>
      <c r="D380" s="19" t="n"/>
      <c r="E380" s="19" t="n"/>
      <c r="F380" s="20">
        <f>IF(A380="","",SUM(B380:E380))</f>
        <v/>
      </c>
      <c r="G380" s="19" t="n"/>
      <c r="H380" s="20">
        <f>IF(OR(A380="",G380=""),"",G380-F380)</f>
        <v/>
      </c>
      <c r="I380" s="21">
        <f>IF(OR(A380="",G380="",G380=0),"",H380/G380)</f>
        <v/>
      </c>
      <c r="J380" s="18" t="n"/>
      <c r="K380" s="22">
        <f>IF(I380="","",IF(I380&gt;=$N$3,"Yes","No"))</f>
        <v/>
      </c>
    </row>
    <row r="381">
      <c r="A381" s="18" t="n"/>
      <c r="B381" s="19" t="n"/>
      <c r="C381" s="19" t="n"/>
      <c r="D381" s="19" t="n"/>
      <c r="E381" s="19" t="n"/>
      <c r="F381" s="20">
        <f>IF(A381="","",SUM(B381:E381))</f>
        <v/>
      </c>
      <c r="G381" s="19" t="n"/>
      <c r="H381" s="20">
        <f>IF(OR(A381="",G381=""),"",G381-F381)</f>
        <v/>
      </c>
      <c r="I381" s="21">
        <f>IF(OR(A381="",G381="",G381=0),"",H381/G381)</f>
        <v/>
      </c>
      <c r="J381" s="18" t="n"/>
      <c r="K381" s="22">
        <f>IF(I381="","",IF(I381&gt;=$N$3,"Yes","No"))</f>
        <v/>
      </c>
    </row>
    <row r="382">
      <c r="A382" s="18" t="n"/>
      <c r="B382" s="19" t="n"/>
      <c r="C382" s="19" t="n"/>
      <c r="D382" s="19" t="n"/>
      <c r="E382" s="19" t="n"/>
      <c r="F382" s="20">
        <f>IF(A382="","",SUM(B382:E382))</f>
        <v/>
      </c>
      <c r="G382" s="19" t="n"/>
      <c r="H382" s="20">
        <f>IF(OR(A382="",G382=""),"",G382-F382)</f>
        <v/>
      </c>
      <c r="I382" s="21">
        <f>IF(OR(A382="",G382="",G382=0),"",H382/G382)</f>
        <v/>
      </c>
      <c r="J382" s="18" t="n"/>
      <c r="K382" s="22">
        <f>IF(I382="","",IF(I382&gt;=$N$3,"Yes","No"))</f>
        <v/>
      </c>
    </row>
    <row r="383">
      <c r="A383" s="18" t="n"/>
      <c r="B383" s="19" t="n"/>
      <c r="C383" s="19" t="n"/>
      <c r="D383" s="19" t="n"/>
      <c r="E383" s="19" t="n"/>
      <c r="F383" s="20">
        <f>IF(A383="","",SUM(B383:E383))</f>
        <v/>
      </c>
      <c r="G383" s="19" t="n"/>
      <c r="H383" s="20">
        <f>IF(OR(A383="",G383=""),"",G383-F383)</f>
        <v/>
      </c>
      <c r="I383" s="21">
        <f>IF(OR(A383="",G383="",G383=0),"",H383/G383)</f>
        <v/>
      </c>
      <c r="J383" s="18" t="n"/>
      <c r="K383" s="22">
        <f>IF(I383="","",IF(I383&gt;=$N$3,"Yes","No"))</f>
        <v/>
      </c>
    </row>
    <row r="384">
      <c r="A384" s="18" t="n"/>
      <c r="B384" s="19" t="n"/>
      <c r="C384" s="19" t="n"/>
      <c r="D384" s="19" t="n"/>
      <c r="E384" s="19" t="n"/>
      <c r="F384" s="20">
        <f>IF(A384="","",SUM(B384:E384))</f>
        <v/>
      </c>
      <c r="G384" s="19" t="n"/>
      <c r="H384" s="20">
        <f>IF(OR(A384="",G384=""),"",G384-F384)</f>
        <v/>
      </c>
      <c r="I384" s="21">
        <f>IF(OR(A384="",G384="",G384=0),"",H384/G384)</f>
        <v/>
      </c>
      <c r="J384" s="18" t="n"/>
      <c r="K384" s="22">
        <f>IF(I384="","",IF(I384&gt;=$N$3,"Yes","No"))</f>
        <v/>
      </c>
    </row>
    <row r="385">
      <c r="A385" s="18" t="n"/>
      <c r="B385" s="19" t="n"/>
      <c r="C385" s="19" t="n"/>
      <c r="D385" s="19" t="n"/>
      <c r="E385" s="19" t="n"/>
      <c r="F385" s="20">
        <f>IF(A385="","",SUM(B385:E385))</f>
        <v/>
      </c>
      <c r="G385" s="19" t="n"/>
      <c r="H385" s="20">
        <f>IF(OR(A385="",G385=""),"",G385-F385)</f>
        <v/>
      </c>
      <c r="I385" s="21">
        <f>IF(OR(A385="",G385="",G385=0),"",H385/G385)</f>
        <v/>
      </c>
      <c r="J385" s="18" t="n"/>
      <c r="K385" s="22">
        <f>IF(I385="","",IF(I385&gt;=$N$3,"Yes","No"))</f>
        <v/>
      </c>
    </row>
    <row r="386">
      <c r="A386" s="18" t="n"/>
      <c r="B386" s="19" t="n"/>
      <c r="C386" s="19" t="n"/>
      <c r="D386" s="19" t="n"/>
      <c r="E386" s="19" t="n"/>
      <c r="F386" s="20">
        <f>IF(A386="","",SUM(B386:E386))</f>
        <v/>
      </c>
      <c r="G386" s="19" t="n"/>
      <c r="H386" s="20">
        <f>IF(OR(A386="",G386=""),"",G386-F386)</f>
        <v/>
      </c>
      <c r="I386" s="21">
        <f>IF(OR(A386="",G386="",G386=0),"",H386/G386)</f>
        <v/>
      </c>
      <c r="J386" s="18" t="n"/>
      <c r="K386" s="22">
        <f>IF(I386="","",IF(I386&gt;=$N$3,"Yes","No"))</f>
        <v/>
      </c>
    </row>
    <row r="387">
      <c r="A387" s="18" t="n"/>
      <c r="B387" s="19" t="n"/>
      <c r="C387" s="19" t="n"/>
      <c r="D387" s="19" t="n"/>
      <c r="E387" s="19" t="n"/>
      <c r="F387" s="20">
        <f>IF(A387="","",SUM(B387:E387))</f>
        <v/>
      </c>
      <c r="G387" s="19" t="n"/>
      <c r="H387" s="20">
        <f>IF(OR(A387="",G387=""),"",G387-F387)</f>
        <v/>
      </c>
      <c r="I387" s="21">
        <f>IF(OR(A387="",G387="",G387=0),"",H387/G387)</f>
        <v/>
      </c>
      <c r="J387" s="18" t="n"/>
      <c r="K387" s="22">
        <f>IF(I387="","",IF(I387&gt;=$N$3,"Yes","No"))</f>
        <v/>
      </c>
    </row>
    <row r="388">
      <c r="A388" s="18" t="n"/>
      <c r="B388" s="19" t="n"/>
      <c r="C388" s="19" t="n"/>
      <c r="D388" s="19" t="n"/>
      <c r="E388" s="19" t="n"/>
      <c r="F388" s="20">
        <f>IF(A388="","",SUM(B388:E388))</f>
        <v/>
      </c>
      <c r="G388" s="19" t="n"/>
      <c r="H388" s="20">
        <f>IF(OR(A388="",G388=""),"",G388-F388)</f>
        <v/>
      </c>
      <c r="I388" s="21">
        <f>IF(OR(A388="",G388="",G388=0),"",H388/G388)</f>
        <v/>
      </c>
      <c r="J388" s="18" t="n"/>
      <c r="K388" s="22">
        <f>IF(I388="","",IF(I388&gt;=$N$3,"Yes","No"))</f>
        <v/>
      </c>
    </row>
    <row r="389">
      <c r="A389" s="18" t="n"/>
      <c r="B389" s="19" t="n"/>
      <c r="C389" s="19" t="n"/>
      <c r="D389" s="19" t="n"/>
      <c r="E389" s="19" t="n"/>
      <c r="F389" s="20">
        <f>IF(A389="","",SUM(B389:E389))</f>
        <v/>
      </c>
      <c r="G389" s="19" t="n"/>
      <c r="H389" s="20">
        <f>IF(OR(A389="",G389=""),"",G389-F389)</f>
        <v/>
      </c>
      <c r="I389" s="21">
        <f>IF(OR(A389="",G389="",G389=0),"",H389/G389)</f>
        <v/>
      </c>
      <c r="J389" s="18" t="n"/>
      <c r="K389" s="22">
        <f>IF(I389="","",IF(I389&gt;=$N$3,"Yes","No"))</f>
        <v/>
      </c>
    </row>
    <row r="390">
      <c r="A390" s="18" t="n"/>
      <c r="B390" s="19" t="n"/>
      <c r="C390" s="19" t="n"/>
      <c r="D390" s="19" t="n"/>
      <c r="E390" s="19" t="n"/>
      <c r="F390" s="20">
        <f>IF(A390="","",SUM(B390:E390))</f>
        <v/>
      </c>
      <c r="G390" s="19" t="n"/>
      <c r="H390" s="20">
        <f>IF(OR(A390="",G390=""),"",G390-F390)</f>
        <v/>
      </c>
      <c r="I390" s="21">
        <f>IF(OR(A390="",G390="",G390=0),"",H390/G390)</f>
        <v/>
      </c>
      <c r="J390" s="18" t="n"/>
      <c r="K390" s="22">
        <f>IF(I390="","",IF(I390&gt;=$N$3,"Yes","No"))</f>
        <v/>
      </c>
    </row>
    <row r="391">
      <c r="A391" s="18" t="n"/>
      <c r="B391" s="19" t="n"/>
      <c r="C391" s="19" t="n"/>
      <c r="D391" s="19" t="n"/>
      <c r="E391" s="19" t="n"/>
      <c r="F391" s="20">
        <f>IF(A391="","",SUM(B391:E391))</f>
        <v/>
      </c>
      <c r="G391" s="19" t="n"/>
      <c r="H391" s="20">
        <f>IF(OR(A391="",G391=""),"",G391-F391)</f>
        <v/>
      </c>
      <c r="I391" s="21">
        <f>IF(OR(A391="",G391="",G391=0),"",H391/G391)</f>
        <v/>
      </c>
      <c r="J391" s="18" t="n"/>
      <c r="K391" s="22">
        <f>IF(I391="","",IF(I391&gt;=$N$3,"Yes","No"))</f>
        <v/>
      </c>
    </row>
    <row r="392">
      <c r="A392" s="18" t="n"/>
      <c r="B392" s="19" t="n"/>
      <c r="C392" s="19" t="n"/>
      <c r="D392" s="19" t="n"/>
      <c r="E392" s="19" t="n"/>
      <c r="F392" s="20">
        <f>IF(A392="","",SUM(B392:E392))</f>
        <v/>
      </c>
      <c r="G392" s="19" t="n"/>
      <c r="H392" s="20">
        <f>IF(OR(A392="",G392=""),"",G392-F392)</f>
        <v/>
      </c>
      <c r="I392" s="21">
        <f>IF(OR(A392="",G392="",G392=0),"",H392/G392)</f>
        <v/>
      </c>
      <c r="J392" s="18" t="n"/>
      <c r="K392" s="22">
        <f>IF(I392="","",IF(I392&gt;=$N$3,"Yes","No"))</f>
        <v/>
      </c>
    </row>
    <row r="393">
      <c r="A393" s="18" t="n"/>
      <c r="B393" s="19" t="n"/>
      <c r="C393" s="19" t="n"/>
      <c r="D393" s="19" t="n"/>
      <c r="E393" s="19" t="n"/>
      <c r="F393" s="20">
        <f>IF(A393="","",SUM(B393:E393))</f>
        <v/>
      </c>
      <c r="G393" s="19" t="n"/>
      <c r="H393" s="20">
        <f>IF(OR(A393="",G393=""),"",G393-F393)</f>
        <v/>
      </c>
      <c r="I393" s="21">
        <f>IF(OR(A393="",G393="",G393=0),"",H393/G393)</f>
        <v/>
      </c>
      <c r="J393" s="18" t="n"/>
      <c r="K393" s="22">
        <f>IF(I393="","",IF(I393&gt;=$N$3,"Yes","No"))</f>
        <v/>
      </c>
    </row>
    <row r="394">
      <c r="A394" s="18" t="n"/>
      <c r="B394" s="19" t="n"/>
      <c r="C394" s="19" t="n"/>
      <c r="D394" s="19" t="n"/>
      <c r="E394" s="19" t="n"/>
      <c r="F394" s="20">
        <f>IF(A394="","",SUM(B394:E394))</f>
        <v/>
      </c>
      <c r="G394" s="19" t="n"/>
      <c r="H394" s="20">
        <f>IF(OR(A394="",G394=""),"",G394-F394)</f>
        <v/>
      </c>
      <c r="I394" s="21">
        <f>IF(OR(A394="",G394="",G394=0),"",H394/G394)</f>
        <v/>
      </c>
      <c r="J394" s="18" t="n"/>
      <c r="K394" s="22">
        <f>IF(I394="","",IF(I394&gt;=$N$3,"Yes","No"))</f>
        <v/>
      </c>
    </row>
    <row r="395">
      <c r="A395" s="18" t="n"/>
      <c r="B395" s="19" t="n"/>
      <c r="C395" s="19" t="n"/>
      <c r="D395" s="19" t="n"/>
      <c r="E395" s="19" t="n"/>
      <c r="F395" s="20">
        <f>IF(A395="","",SUM(B395:E395))</f>
        <v/>
      </c>
      <c r="G395" s="19" t="n"/>
      <c r="H395" s="20">
        <f>IF(OR(A395="",G395=""),"",G395-F395)</f>
        <v/>
      </c>
      <c r="I395" s="21">
        <f>IF(OR(A395="",G395="",G395=0),"",H395/G395)</f>
        <v/>
      </c>
      <c r="J395" s="18" t="n"/>
      <c r="K395" s="22">
        <f>IF(I395="","",IF(I395&gt;=$N$3,"Yes","No"))</f>
        <v/>
      </c>
    </row>
    <row r="396">
      <c r="A396" s="18" t="n"/>
      <c r="B396" s="19" t="n"/>
      <c r="C396" s="19" t="n"/>
      <c r="D396" s="19" t="n"/>
      <c r="E396" s="19" t="n"/>
      <c r="F396" s="20">
        <f>IF(A396="","",SUM(B396:E396))</f>
        <v/>
      </c>
      <c r="G396" s="19" t="n"/>
      <c r="H396" s="20">
        <f>IF(OR(A396="",G396=""),"",G396-F396)</f>
        <v/>
      </c>
      <c r="I396" s="21">
        <f>IF(OR(A396="",G396="",G396=0),"",H396/G396)</f>
        <v/>
      </c>
      <c r="J396" s="18" t="n"/>
      <c r="K396" s="22">
        <f>IF(I396="","",IF(I396&gt;=$N$3,"Yes","No"))</f>
        <v/>
      </c>
    </row>
    <row r="397">
      <c r="A397" s="18" t="n"/>
      <c r="B397" s="19" t="n"/>
      <c r="C397" s="19" t="n"/>
      <c r="D397" s="19" t="n"/>
      <c r="E397" s="19" t="n"/>
      <c r="F397" s="20">
        <f>IF(A397="","",SUM(B397:E397))</f>
        <v/>
      </c>
      <c r="G397" s="19" t="n"/>
      <c r="H397" s="20">
        <f>IF(OR(A397="",G397=""),"",G397-F397)</f>
        <v/>
      </c>
      <c r="I397" s="21">
        <f>IF(OR(A397="",G397="",G397=0),"",H397/G397)</f>
        <v/>
      </c>
      <c r="J397" s="18" t="n"/>
      <c r="K397" s="22">
        <f>IF(I397="","",IF(I397&gt;=$N$3,"Yes","No"))</f>
        <v/>
      </c>
    </row>
    <row r="398">
      <c r="A398" s="18" t="n"/>
      <c r="B398" s="19" t="n"/>
      <c r="C398" s="19" t="n"/>
      <c r="D398" s="19" t="n"/>
      <c r="E398" s="19" t="n"/>
      <c r="F398" s="20">
        <f>IF(A398="","",SUM(B398:E398))</f>
        <v/>
      </c>
      <c r="G398" s="19" t="n"/>
      <c r="H398" s="20">
        <f>IF(OR(A398="",G398=""),"",G398-F398)</f>
        <v/>
      </c>
      <c r="I398" s="21">
        <f>IF(OR(A398="",G398="",G398=0),"",H398/G398)</f>
        <v/>
      </c>
      <c r="J398" s="18" t="n"/>
      <c r="K398" s="22">
        <f>IF(I398="","",IF(I398&gt;=$N$3,"Yes","No"))</f>
        <v/>
      </c>
    </row>
    <row r="399">
      <c r="A399" s="18" t="n"/>
      <c r="B399" s="19" t="n"/>
      <c r="C399" s="19" t="n"/>
      <c r="D399" s="19" t="n"/>
      <c r="E399" s="19" t="n"/>
      <c r="F399" s="20">
        <f>IF(A399="","",SUM(B399:E399))</f>
        <v/>
      </c>
      <c r="G399" s="19" t="n"/>
      <c r="H399" s="20">
        <f>IF(OR(A399="",G399=""),"",G399-F399)</f>
        <v/>
      </c>
      <c r="I399" s="21">
        <f>IF(OR(A399="",G399="",G399=0),"",H399/G399)</f>
        <v/>
      </c>
      <c r="J399" s="18" t="n"/>
      <c r="K399" s="22">
        <f>IF(I399="","",IF(I399&gt;=$N$3,"Yes","No"))</f>
        <v/>
      </c>
    </row>
    <row r="400">
      <c r="A400" s="18" t="n"/>
      <c r="B400" s="19" t="n"/>
      <c r="C400" s="19" t="n"/>
      <c r="D400" s="19" t="n"/>
      <c r="E400" s="19" t="n"/>
      <c r="F400" s="20">
        <f>IF(A400="","",SUM(B400:E400))</f>
        <v/>
      </c>
      <c r="G400" s="19" t="n"/>
      <c r="H400" s="20">
        <f>IF(OR(A400="",G400=""),"",G400-F400)</f>
        <v/>
      </c>
      <c r="I400" s="21">
        <f>IF(OR(A400="",G400="",G400=0),"",H400/G400)</f>
        <v/>
      </c>
      <c r="J400" s="18" t="n"/>
      <c r="K400" s="22">
        <f>IF(I400="","",IF(I400&gt;=$N$3,"Yes","No"))</f>
        <v/>
      </c>
    </row>
    <row r="401">
      <c r="A401" s="18" t="n"/>
      <c r="B401" s="19" t="n"/>
      <c r="C401" s="19" t="n"/>
      <c r="D401" s="19" t="n"/>
      <c r="E401" s="19" t="n"/>
      <c r="F401" s="20">
        <f>IF(A401="","",SUM(B401:E401))</f>
        <v/>
      </c>
      <c r="G401" s="19" t="n"/>
      <c r="H401" s="20">
        <f>IF(OR(A401="",G401=""),"",G401-F401)</f>
        <v/>
      </c>
      <c r="I401" s="21">
        <f>IF(OR(A401="",G401="",G401=0),"",H401/G401)</f>
        <v/>
      </c>
      <c r="J401" s="18" t="n"/>
      <c r="K401" s="22">
        <f>IF(I401="","",IF(I401&gt;=$N$3,"Yes","No"))</f>
        <v/>
      </c>
    </row>
    <row r="402">
      <c r="A402" s="18" t="n"/>
      <c r="B402" s="19" t="n"/>
      <c r="C402" s="19" t="n"/>
      <c r="D402" s="19" t="n"/>
      <c r="E402" s="19" t="n"/>
      <c r="F402" s="20">
        <f>IF(A402="","",SUM(B402:E402))</f>
        <v/>
      </c>
      <c r="G402" s="19" t="n"/>
      <c r="H402" s="20">
        <f>IF(OR(A402="",G402=""),"",G402-F402)</f>
        <v/>
      </c>
      <c r="I402" s="21">
        <f>IF(OR(A402="",G402="",G402=0),"",H402/G402)</f>
        <v/>
      </c>
      <c r="J402" s="18" t="n"/>
      <c r="K402" s="22">
        <f>IF(I402="","",IF(I402&gt;=$N$3,"Yes","No"))</f>
        <v/>
      </c>
    </row>
    <row r="403">
      <c r="A403" s="18" t="n"/>
      <c r="B403" s="19" t="n"/>
      <c r="C403" s="19" t="n"/>
      <c r="D403" s="19" t="n"/>
      <c r="E403" s="19" t="n"/>
      <c r="F403" s="20">
        <f>IF(A403="","",SUM(B403:E403))</f>
        <v/>
      </c>
      <c r="G403" s="19" t="n"/>
      <c r="H403" s="20">
        <f>IF(OR(A403="",G403=""),"",G403-F403)</f>
        <v/>
      </c>
      <c r="I403" s="21">
        <f>IF(OR(A403="",G403="",G403=0),"",H403/G403)</f>
        <v/>
      </c>
      <c r="J403" s="18" t="n"/>
      <c r="K403" s="22">
        <f>IF(I403="","",IF(I403&gt;=$N$3,"Yes","No"))</f>
        <v/>
      </c>
    </row>
    <row r="404">
      <c r="A404" s="18" t="n"/>
      <c r="B404" s="19" t="n"/>
      <c r="C404" s="19" t="n"/>
      <c r="D404" s="19" t="n"/>
      <c r="E404" s="19" t="n"/>
      <c r="F404" s="20">
        <f>IF(A404="","",SUM(B404:E404))</f>
        <v/>
      </c>
      <c r="G404" s="19" t="n"/>
      <c r="H404" s="20">
        <f>IF(OR(A404="",G404=""),"",G404-F404)</f>
        <v/>
      </c>
      <c r="I404" s="21">
        <f>IF(OR(A404="",G404="",G404=0),"",H404/G404)</f>
        <v/>
      </c>
      <c r="J404" s="18" t="n"/>
      <c r="K404" s="22">
        <f>IF(I404="","",IF(I404&gt;=$N$3,"Yes","No"))</f>
        <v/>
      </c>
    </row>
    <row r="405">
      <c r="A405" s="18" t="n"/>
      <c r="B405" s="19" t="n"/>
      <c r="C405" s="19" t="n"/>
      <c r="D405" s="19" t="n"/>
      <c r="E405" s="19" t="n"/>
      <c r="F405" s="20">
        <f>IF(A405="","",SUM(B405:E405))</f>
        <v/>
      </c>
      <c r="G405" s="19" t="n"/>
      <c r="H405" s="20">
        <f>IF(OR(A405="",G405=""),"",G405-F405)</f>
        <v/>
      </c>
      <c r="I405" s="21">
        <f>IF(OR(A405="",G405="",G405=0),"",H405/G405)</f>
        <v/>
      </c>
      <c r="J405" s="18" t="n"/>
      <c r="K405" s="22">
        <f>IF(I405="","",IF(I405&gt;=$N$3,"Yes","No"))</f>
        <v/>
      </c>
    </row>
    <row r="406">
      <c r="A406" s="18" t="n"/>
      <c r="B406" s="19" t="n"/>
      <c r="C406" s="19" t="n"/>
      <c r="D406" s="19" t="n"/>
      <c r="E406" s="19" t="n"/>
      <c r="F406" s="20">
        <f>IF(A406="","",SUM(B406:E406))</f>
        <v/>
      </c>
      <c r="G406" s="19" t="n"/>
      <c r="H406" s="20">
        <f>IF(OR(A406="",G406=""),"",G406-F406)</f>
        <v/>
      </c>
      <c r="I406" s="21">
        <f>IF(OR(A406="",G406="",G406=0),"",H406/G406)</f>
        <v/>
      </c>
      <c r="J406" s="18" t="n"/>
      <c r="K406" s="22">
        <f>IF(I406="","",IF(I406&gt;=$N$3,"Yes","No"))</f>
        <v/>
      </c>
    </row>
    <row r="407">
      <c r="A407" s="18" t="n"/>
      <c r="B407" s="19" t="n"/>
      <c r="C407" s="19" t="n"/>
      <c r="D407" s="19" t="n"/>
      <c r="E407" s="19" t="n"/>
      <c r="F407" s="20">
        <f>IF(A407="","",SUM(B407:E407))</f>
        <v/>
      </c>
      <c r="G407" s="19" t="n"/>
      <c r="H407" s="20">
        <f>IF(OR(A407="",G407=""),"",G407-F407)</f>
        <v/>
      </c>
      <c r="I407" s="21">
        <f>IF(OR(A407="",G407="",G407=0),"",H407/G407)</f>
        <v/>
      </c>
      <c r="J407" s="18" t="n"/>
      <c r="K407" s="22">
        <f>IF(I407="","",IF(I407&gt;=$N$3,"Yes","No"))</f>
        <v/>
      </c>
    </row>
    <row r="408">
      <c r="A408" s="18" t="n"/>
      <c r="B408" s="19" t="n"/>
      <c r="C408" s="19" t="n"/>
      <c r="D408" s="19" t="n"/>
      <c r="E408" s="19" t="n"/>
      <c r="F408" s="20">
        <f>IF(A408="","",SUM(B408:E408))</f>
        <v/>
      </c>
      <c r="G408" s="19" t="n"/>
      <c r="H408" s="20">
        <f>IF(OR(A408="",G408=""),"",G408-F408)</f>
        <v/>
      </c>
      <c r="I408" s="21">
        <f>IF(OR(A408="",G408="",G408=0),"",H408/G408)</f>
        <v/>
      </c>
      <c r="J408" s="18" t="n"/>
      <c r="K408" s="22">
        <f>IF(I408="","",IF(I408&gt;=$N$3,"Yes","No"))</f>
        <v/>
      </c>
    </row>
    <row r="409">
      <c r="A409" s="18" t="n"/>
      <c r="B409" s="19" t="n"/>
      <c r="C409" s="19" t="n"/>
      <c r="D409" s="19" t="n"/>
      <c r="E409" s="19" t="n"/>
      <c r="F409" s="20">
        <f>IF(A409="","",SUM(B409:E409))</f>
        <v/>
      </c>
      <c r="G409" s="19" t="n"/>
      <c r="H409" s="20">
        <f>IF(OR(A409="",G409=""),"",G409-F409)</f>
        <v/>
      </c>
      <c r="I409" s="21">
        <f>IF(OR(A409="",G409="",G409=0),"",H409/G409)</f>
        <v/>
      </c>
      <c r="J409" s="18" t="n"/>
      <c r="K409" s="22">
        <f>IF(I409="","",IF(I409&gt;=$N$3,"Yes","No"))</f>
        <v/>
      </c>
    </row>
    <row r="410">
      <c r="A410" s="18" t="n"/>
      <c r="B410" s="19" t="n"/>
      <c r="C410" s="19" t="n"/>
      <c r="D410" s="19" t="n"/>
      <c r="E410" s="19" t="n"/>
      <c r="F410" s="20">
        <f>IF(A410="","",SUM(B410:E410))</f>
        <v/>
      </c>
      <c r="G410" s="19" t="n"/>
      <c r="H410" s="20">
        <f>IF(OR(A410="",G410=""),"",G410-F410)</f>
        <v/>
      </c>
      <c r="I410" s="21">
        <f>IF(OR(A410="",G410="",G410=0),"",H410/G410)</f>
        <v/>
      </c>
      <c r="J410" s="18" t="n"/>
      <c r="K410" s="22">
        <f>IF(I410="","",IF(I410&gt;=$N$3,"Yes","No"))</f>
        <v/>
      </c>
    </row>
    <row r="411">
      <c r="A411" s="18" t="n"/>
      <c r="B411" s="19" t="n"/>
      <c r="C411" s="19" t="n"/>
      <c r="D411" s="19" t="n"/>
      <c r="E411" s="19" t="n"/>
      <c r="F411" s="20">
        <f>IF(A411="","",SUM(B411:E411))</f>
        <v/>
      </c>
      <c r="G411" s="19" t="n"/>
      <c r="H411" s="20">
        <f>IF(OR(A411="",G411=""),"",G411-F411)</f>
        <v/>
      </c>
      <c r="I411" s="21">
        <f>IF(OR(A411="",G411="",G411=0),"",H411/G411)</f>
        <v/>
      </c>
      <c r="J411" s="18" t="n"/>
      <c r="K411" s="22">
        <f>IF(I411="","",IF(I411&gt;=$N$3,"Yes","No"))</f>
        <v/>
      </c>
    </row>
    <row r="412">
      <c r="A412" s="18" t="n"/>
      <c r="B412" s="19" t="n"/>
      <c r="C412" s="19" t="n"/>
      <c r="D412" s="19" t="n"/>
      <c r="E412" s="19" t="n"/>
      <c r="F412" s="20">
        <f>IF(A412="","",SUM(B412:E412))</f>
        <v/>
      </c>
      <c r="G412" s="19" t="n"/>
      <c r="H412" s="20">
        <f>IF(OR(A412="",G412=""),"",G412-F412)</f>
        <v/>
      </c>
      <c r="I412" s="21">
        <f>IF(OR(A412="",G412="",G412=0),"",H412/G412)</f>
        <v/>
      </c>
      <c r="J412" s="18" t="n"/>
      <c r="K412" s="22">
        <f>IF(I412="","",IF(I412&gt;=$N$3,"Yes","No"))</f>
        <v/>
      </c>
    </row>
    <row r="413">
      <c r="A413" s="18" t="n"/>
      <c r="B413" s="19" t="n"/>
      <c r="C413" s="19" t="n"/>
      <c r="D413" s="19" t="n"/>
      <c r="E413" s="19" t="n"/>
      <c r="F413" s="20">
        <f>IF(A413="","",SUM(B413:E413))</f>
        <v/>
      </c>
      <c r="G413" s="19" t="n"/>
      <c r="H413" s="20">
        <f>IF(OR(A413="",G413=""),"",G413-F413)</f>
        <v/>
      </c>
      <c r="I413" s="21">
        <f>IF(OR(A413="",G413="",G413=0),"",H413/G413)</f>
        <v/>
      </c>
      <c r="J413" s="18" t="n"/>
      <c r="K413" s="22">
        <f>IF(I413="","",IF(I413&gt;=$N$3,"Yes","No"))</f>
        <v/>
      </c>
    </row>
    <row r="414">
      <c r="A414" s="18" t="n"/>
      <c r="B414" s="19" t="n"/>
      <c r="C414" s="19" t="n"/>
      <c r="D414" s="19" t="n"/>
      <c r="E414" s="19" t="n"/>
      <c r="F414" s="20">
        <f>IF(A414="","",SUM(B414:E414))</f>
        <v/>
      </c>
      <c r="G414" s="19" t="n"/>
      <c r="H414" s="20">
        <f>IF(OR(A414="",G414=""),"",G414-F414)</f>
        <v/>
      </c>
      <c r="I414" s="21">
        <f>IF(OR(A414="",G414="",G414=0),"",H414/G414)</f>
        <v/>
      </c>
      <c r="J414" s="18" t="n"/>
      <c r="K414" s="22">
        <f>IF(I414="","",IF(I414&gt;=$N$3,"Yes","No"))</f>
        <v/>
      </c>
    </row>
    <row r="415">
      <c r="A415" s="18" t="n"/>
      <c r="B415" s="19" t="n"/>
      <c r="C415" s="19" t="n"/>
      <c r="D415" s="19" t="n"/>
      <c r="E415" s="19" t="n"/>
      <c r="F415" s="20">
        <f>IF(A415="","",SUM(B415:E415))</f>
        <v/>
      </c>
      <c r="G415" s="19" t="n"/>
      <c r="H415" s="20">
        <f>IF(OR(A415="",G415=""),"",G415-F415)</f>
        <v/>
      </c>
      <c r="I415" s="21">
        <f>IF(OR(A415="",G415="",G415=0),"",H415/G415)</f>
        <v/>
      </c>
      <c r="J415" s="18" t="n"/>
      <c r="K415" s="22">
        <f>IF(I415="","",IF(I415&gt;=$N$3,"Yes","No"))</f>
        <v/>
      </c>
    </row>
    <row r="416">
      <c r="A416" s="18" t="n"/>
      <c r="B416" s="19" t="n"/>
      <c r="C416" s="19" t="n"/>
      <c r="D416" s="19" t="n"/>
      <c r="E416" s="19" t="n"/>
      <c r="F416" s="20">
        <f>IF(A416="","",SUM(B416:E416))</f>
        <v/>
      </c>
      <c r="G416" s="19" t="n"/>
      <c r="H416" s="20">
        <f>IF(OR(A416="",G416=""),"",G416-F416)</f>
        <v/>
      </c>
      <c r="I416" s="21">
        <f>IF(OR(A416="",G416="",G416=0),"",H416/G416)</f>
        <v/>
      </c>
      <c r="J416" s="18" t="n"/>
      <c r="K416" s="22">
        <f>IF(I416="","",IF(I416&gt;=$N$3,"Yes","No"))</f>
        <v/>
      </c>
    </row>
    <row r="417">
      <c r="A417" s="18" t="n"/>
      <c r="B417" s="19" t="n"/>
      <c r="C417" s="19" t="n"/>
      <c r="D417" s="19" t="n"/>
      <c r="E417" s="19" t="n"/>
      <c r="F417" s="20">
        <f>IF(A417="","",SUM(B417:E417))</f>
        <v/>
      </c>
      <c r="G417" s="19" t="n"/>
      <c r="H417" s="20">
        <f>IF(OR(A417="",G417=""),"",G417-F417)</f>
        <v/>
      </c>
      <c r="I417" s="21">
        <f>IF(OR(A417="",G417="",G417=0),"",H417/G417)</f>
        <v/>
      </c>
      <c r="J417" s="18" t="n"/>
      <c r="K417" s="22">
        <f>IF(I417="","",IF(I417&gt;=$N$3,"Yes","No"))</f>
        <v/>
      </c>
    </row>
    <row r="418">
      <c r="A418" s="18" t="n"/>
      <c r="B418" s="19" t="n"/>
      <c r="C418" s="19" t="n"/>
      <c r="D418" s="19" t="n"/>
      <c r="E418" s="19" t="n"/>
      <c r="F418" s="20">
        <f>IF(A418="","",SUM(B418:E418))</f>
        <v/>
      </c>
      <c r="G418" s="19" t="n"/>
      <c r="H418" s="20">
        <f>IF(OR(A418="",G418=""),"",G418-F418)</f>
        <v/>
      </c>
      <c r="I418" s="21">
        <f>IF(OR(A418="",G418="",G418=0),"",H418/G418)</f>
        <v/>
      </c>
      <c r="J418" s="18" t="n"/>
      <c r="K418" s="22">
        <f>IF(I418="","",IF(I418&gt;=$N$3,"Yes","No"))</f>
        <v/>
      </c>
    </row>
    <row r="419">
      <c r="A419" s="18" t="n"/>
      <c r="B419" s="19" t="n"/>
      <c r="C419" s="19" t="n"/>
      <c r="D419" s="19" t="n"/>
      <c r="E419" s="19" t="n"/>
      <c r="F419" s="20">
        <f>IF(A419="","",SUM(B419:E419))</f>
        <v/>
      </c>
      <c r="G419" s="19" t="n"/>
      <c r="H419" s="20">
        <f>IF(OR(A419="",G419=""),"",G419-F419)</f>
        <v/>
      </c>
      <c r="I419" s="21">
        <f>IF(OR(A419="",G419="",G419=0),"",H419/G419)</f>
        <v/>
      </c>
      <c r="J419" s="18" t="n"/>
      <c r="K419" s="22">
        <f>IF(I419="","",IF(I419&gt;=$N$3,"Yes","No"))</f>
        <v/>
      </c>
    </row>
    <row r="420">
      <c r="A420" s="18" t="n"/>
      <c r="B420" s="19" t="n"/>
      <c r="C420" s="19" t="n"/>
      <c r="D420" s="19" t="n"/>
      <c r="E420" s="19" t="n"/>
      <c r="F420" s="20">
        <f>IF(A420="","",SUM(B420:E420))</f>
        <v/>
      </c>
      <c r="G420" s="19" t="n"/>
      <c r="H420" s="20">
        <f>IF(OR(A420="",G420=""),"",G420-F420)</f>
        <v/>
      </c>
      <c r="I420" s="21">
        <f>IF(OR(A420="",G420="",G420=0),"",H420/G420)</f>
        <v/>
      </c>
      <c r="J420" s="18" t="n"/>
      <c r="K420" s="22">
        <f>IF(I420="","",IF(I420&gt;=$N$3,"Yes","No"))</f>
        <v/>
      </c>
    </row>
    <row r="421">
      <c r="A421" s="18" t="n"/>
      <c r="B421" s="19" t="n"/>
      <c r="C421" s="19" t="n"/>
      <c r="D421" s="19" t="n"/>
      <c r="E421" s="19" t="n"/>
      <c r="F421" s="20">
        <f>IF(A421="","",SUM(B421:E421))</f>
        <v/>
      </c>
      <c r="G421" s="19" t="n"/>
      <c r="H421" s="20">
        <f>IF(OR(A421="",G421=""),"",G421-F421)</f>
        <v/>
      </c>
      <c r="I421" s="21">
        <f>IF(OR(A421="",G421="",G421=0),"",H421/G421)</f>
        <v/>
      </c>
      <c r="J421" s="18" t="n"/>
      <c r="K421" s="22">
        <f>IF(I421="","",IF(I421&gt;=$N$3,"Yes","No"))</f>
        <v/>
      </c>
    </row>
    <row r="422">
      <c r="A422" s="18" t="n"/>
      <c r="B422" s="19" t="n"/>
      <c r="C422" s="19" t="n"/>
      <c r="D422" s="19" t="n"/>
      <c r="E422" s="19" t="n"/>
      <c r="F422" s="20">
        <f>IF(A422="","",SUM(B422:E422))</f>
        <v/>
      </c>
      <c r="G422" s="19" t="n"/>
      <c r="H422" s="20">
        <f>IF(OR(A422="",G422=""),"",G422-F422)</f>
        <v/>
      </c>
      <c r="I422" s="21">
        <f>IF(OR(A422="",G422="",G422=0),"",H422/G422)</f>
        <v/>
      </c>
      <c r="J422" s="18" t="n"/>
      <c r="K422" s="22">
        <f>IF(I422="","",IF(I422&gt;=$N$3,"Yes","No"))</f>
        <v/>
      </c>
    </row>
    <row r="423">
      <c r="A423" s="18" t="n"/>
      <c r="B423" s="19" t="n"/>
      <c r="C423" s="19" t="n"/>
      <c r="D423" s="19" t="n"/>
      <c r="E423" s="19" t="n"/>
      <c r="F423" s="20">
        <f>IF(A423="","",SUM(B423:E423))</f>
        <v/>
      </c>
      <c r="G423" s="19" t="n"/>
      <c r="H423" s="20">
        <f>IF(OR(A423="",G423=""),"",G423-F423)</f>
        <v/>
      </c>
      <c r="I423" s="21">
        <f>IF(OR(A423="",G423="",G423=0),"",H423/G423)</f>
        <v/>
      </c>
      <c r="J423" s="18" t="n"/>
      <c r="K423" s="22">
        <f>IF(I423="","",IF(I423&gt;=$N$3,"Yes","No"))</f>
        <v/>
      </c>
    </row>
    <row r="424">
      <c r="A424" s="18" t="n"/>
      <c r="B424" s="19" t="n"/>
      <c r="C424" s="19" t="n"/>
      <c r="D424" s="19" t="n"/>
      <c r="E424" s="19" t="n"/>
      <c r="F424" s="20">
        <f>IF(A424="","",SUM(B424:E424))</f>
        <v/>
      </c>
      <c r="G424" s="19" t="n"/>
      <c r="H424" s="20">
        <f>IF(OR(A424="",G424=""),"",G424-F424)</f>
        <v/>
      </c>
      <c r="I424" s="21">
        <f>IF(OR(A424="",G424="",G424=0),"",H424/G424)</f>
        <v/>
      </c>
      <c r="J424" s="18" t="n"/>
      <c r="K424" s="22">
        <f>IF(I424="","",IF(I424&gt;=$N$3,"Yes","No"))</f>
        <v/>
      </c>
    </row>
    <row r="425">
      <c r="A425" s="18" t="n"/>
      <c r="B425" s="19" t="n"/>
      <c r="C425" s="19" t="n"/>
      <c r="D425" s="19" t="n"/>
      <c r="E425" s="19" t="n"/>
      <c r="F425" s="20">
        <f>IF(A425="","",SUM(B425:E425))</f>
        <v/>
      </c>
      <c r="G425" s="19" t="n"/>
      <c r="H425" s="20">
        <f>IF(OR(A425="",G425=""),"",G425-F425)</f>
        <v/>
      </c>
      <c r="I425" s="21">
        <f>IF(OR(A425="",G425="",G425=0),"",H425/G425)</f>
        <v/>
      </c>
      <c r="J425" s="18" t="n"/>
      <c r="K425" s="22">
        <f>IF(I425="","",IF(I425&gt;=$N$3,"Yes","No"))</f>
        <v/>
      </c>
    </row>
    <row r="426">
      <c r="A426" s="18" t="n"/>
      <c r="B426" s="19" t="n"/>
      <c r="C426" s="19" t="n"/>
      <c r="D426" s="19" t="n"/>
      <c r="E426" s="19" t="n"/>
      <c r="F426" s="20">
        <f>IF(A426="","",SUM(B426:E426))</f>
        <v/>
      </c>
      <c r="G426" s="19" t="n"/>
      <c r="H426" s="20">
        <f>IF(OR(A426="",G426=""),"",G426-F426)</f>
        <v/>
      </c>
      <c r="I426" s="21">
        <f>IF(OR(A426="",G426="",G426=0),"",H426/G426)</f>
        <v/>
      </c>
      <c r="J426" s="18" t="n"/>
      <c r="K426" s="22">
        <f>IF(I426="","",IF(I426&gt;=$N$3,"Yes","No"))</f>
        <v/>
      </c>
    </row>
    <row r="427">
      <c r="A427" s="18" t="n"/>
      <c r="B427" s="19" t="n"/>
      <c r="C427" s="19" t="n"/>
      <c r="D427" s="19" t="n"/>
      <c r="E427" s="19" t="n"/>
      <c r="F427" s="20">
        <f>IF(A427="","",SUM(B427:E427))</f>
        <v/>
      </c>
      <c r="G427" s="19" t="n"/>
      <c r="H427" s="20">
        <f>IF(OR(A427="",G427=""),"",G427-F427)</f>
        <v/>
      </c>
      <c r="I427" s="21">
        <f>IF(OR(A427="",G427="",G427=0),"",H427/G427)</f>
        <v/>
      </c>
      <c r="J427" s="18" t="n"/>
      <c r="K427" s="22">
        <f>IF(I427="","",IF(I427&gt;=$N$3,"Yes","No"))</f>
        <v/>
      </c>
    </row>
    <row r="428">
      <c r="A428" s="18" t="n"/>
      <c r="B428" s="19" t="n"/>
      <c r="C428" s="19" t="n"/>
      <c r="D428" s="19" t="n"/>
      <c r="E428" s="19" t="n"/>
      <c r="F428" s="20">
        <f>IF(A428="","",SUM(B428:E428))</f>
        <v/>
      </c>
      <c r="G428" s="19" t="n"/>
      <c r="H428" s="20">
        <f>IF(OR(A428="",G428=""),"",G428-F428)</f>
        <v/>
      </c>
      <c r="I428" s="21">
        <f>IF(OR(A428="",G428="",G428=0),"",H428/G428)</f>
        <v/>
      </c>
      <c r="J428" s="18" t="n"/>
      <c r="K428" s="22">
        <f>IF(I428="","",IF(I428&gt;=$N$3,"Yes","No"))</f>
        <v/>
      </c>
    </row>
    <row r="429">
      <c r="A429" s="18" t="n"/>
      <c r="B429" s="19" t="n"/>
      <c r="C429" s="19" t="n"/>
      <c r="D429" s="19" t="n"/>
      <c r="E429" s="19" t="n"/>
      <c r="F429" s="20">
        <f>IF(A429="","",SUM(B429:E429))</f>
        <v/>
      </c>
      <c r="G429" s="19" t="n"/>
      <c r="H429" s="20">
        <f>IF(OR(A429="",G429=""),"",G429-F429)</f>
        <v/>
      </c>
      <c r="I429" s="21">
        <f>IF(OR(A429="",G429="",G429=0),"",H429/G429)</f>
        <v/>
      </c>
      <c r="J429" s="18" t="n"/>
      <c r="K429" s="22">
        <f>IF(I429="","",IF(I429&gt;=$N$3,"Yes","No"))</f>
        <v/>
      </c>
    </row>
    <row r="430">
      <c r="A430" s="18" t="n"/>
      <c r="B430" s="19" t="n"/>
      <c r="C430" s="19" t="n"/>
      <c r="D430" s="19" t="n"/>
      <c r="E430" s="19" t="n"/>
      <c r="F430" s="20">
        <f>IF(A430="","",SUM(B430:E430))</f>
        <v/>
      </c>
      <c r="G430" s="19" t="n"/>
      <c r="H430" s="20">
        <f>IF(OR(A430="",G430=""),"",G430-F430)</f>
        <v/>
      </c>
      <c r="I430" s="21">
        <f>IF(OR(A430="",G430="",G430=0),"",H430/G430)</f>
        <v/>
      </c>
      <c r="J430" s="18" t="n"/>
      <c r="K430" s="22">
        <f>IF(I430="","",IF(I430&gt;=$N$3,"Yes","No"))</f>
        <v/>
      </c>
    </row>
    <row r="431">
      <c r="A431" s="18" t="n"/>
      <c r="B431" s="19" t="n"/>
      <c r="C431" s="19" t="n"/>
      <c r="D431" s="19" t="n"/>
      <c r="E431" s="19" t="n"/>
      <c r="F431" s="20">
        <f>IF(A431="","",SUM(B431:E431))</f>
        <v/>
      </c>
      <c r="G431" s="19" t="n"/>
      <c r="H431" s="20">
        <f>IF(OR(A431="",G431=""),"",G431-F431)</f>
        <v/>
      </c>
      <c r="I431" s="21">
        <f>IF(OR(A431="",G431="",G431=0),"",H431/G431)</f>
        <v/>
      </c>
      <c r="J431" s="18" t="n"/>
      <c r="K431" s="22">
        <f>IF(I431="","",IF(I431&gt;=$N$3,"Yes","No"))</f>
        <v/>
      </c>
    </row>
    <row r="432">
      <c r="A432" s="18" t="n"/>
      <c r="B432" s="19" t="n"/>
      <c r="C432" s="19" t="n"/>
      <c r="D432" s="19" t="n"/>
      <c r="E432" s="19" t="n"/>
      <c r="F432" s="20">
        <f>IF(A432="","",SUM(B432:E432))</f>
        <v/>
      </c>
      <c r="G432" s="19" t="n"/>
      <c r="H432" s="20">
        <f>IF(OR(A432="",G432=""),"",G432-F432)</f>
        <v/>
      </c>
      <c r="I432" s="21">
        <f>IF(OR(A432="",G432="",G432=0),"",H432/G432)</f>
        <v/>
      </c>
      <c r="J432" s="18" t="n"/>
      <c r="K432" s="22">
        <f>IF(I432="","",IF(I432&gt;=$N$3,"Yes","No"))</f>
        <v/>
      </c>
    </row>
    <row r="433">
      <c r="A433" s="18" t="n"/>
      <c r="B433" s="19" t="n"/>
      <c r="C433" s="19" t="n"/>
      <c r="D433" s="19" t="n"/>
      <c r="E433" s="19" t="n"/>
      <c r="F433" s="20">
        <f>IF(A433="","",SUM(B433:E433))</f>
        <v/>
      </c>
      <c r="G433" s="19" t="n"/>
      <c r="H433" s="20">
        <f>IF(OR(A433="",G433=""),"",G433-F433)</f>
        <v/>
      </c>
      <c r="I433" s="21">
        <f>IF(OR(A433="",G433="",G433=0),"",H433/G433)</f>
        <v/>
      </c>
      <c r="J433" s="18" t="n"/>
      <c r="K433" s="22">
        <f>IF(I433="","",IF(I433&gt;=$N$3,"Yes","No"))</f>
        <v/>
      </c>
    </row>
    <row r="434">
      <c r="A434" s="18" t="n"/>
      <c r="B434" s="19" t="n"/>
      <c r="C434" s="19" t="n"/>
      <c r="D434" s="19" t="n"/>
      <c r="E434" s="19" t="n"/>
      <c r="F434" s="20">
        <f>IF(A434="","",SUM(B434:E434))</f>
        <v/>
      </c>
      <c r="G434" s="19" t="n"/>
      <c r="H434" s="20">
        <f>IF(OR(A434="",G434=""),"",G434-F434)</f>
        <v/>
      </c>
      <c r="I434" s="21">
        <f>IF(OR(A434="",G434="",G434=0),"",H434/G434)</f>
        <v/>
      </c>
      <c r="J434" s="18" t="n"/>
      <c r="K434" s="22">
        <f>IF(I434="","",IF(I434&gt;=$N$3,"Yes","No"))</f>
        <v/>
      </c>
    </row>
    <row r="435">
      <c r="A435" s="18" t="n"/>
      <c r="B435" s="19" t="n"/>
      <c r="C435" s="19" t="n"/>
      <c r="D435" s="19" t="n"/>
      <c r="E435" s="19" t="n"/>
      <c r="F435" s="20">
        <f>IF(A435="","",SUM(B435:E435))</f>
        <v/>
      </c>
      <c r="G435" s="19" t="n"/>
      <c r="H435" s="20">
        <f>IF(OR(A435="",G435=""),"",G435-F435)</f>
        <v/>
      </c>
      <c r="I435" s="21">
        <f>IF(OR(A435="",G435="",G435=0),"",H435/G435)</f>
        <v/>
      </c>
      <c r="J435" s="18" t="n"/>
      <c r="K435" s="22">
        <f>IF(I435="","",IF(I435&gt;=$N$3,"Yes","No"))</f>
        <v/>
      </c>
    </row>
    <row r="436">
      <c r="A436" s="18" t="n"/>
      <c r="B436" s="19" t="n"/>
      <c r="C436" s="19" t="n"/>
      <c r="D436" s="19" t="n"/>
      <c r="E436" s="19" t="n"/>
      <c r="F436" s="20">
        <f>IF(A436="","",SUM(B436:E436))</f>
        <v/>
      </c>
      <c r="G436" s="19" t="n"/>
      <c r="H436" s="20">
        <f>IF(OR(A436="",G436=""),"",G436-F436)</f>
        <v/>
      </c>
      <c r="I436" s="21">
        <f>IF(OR(A436="",G436="",G436=0),"",H436/G436)</f>
        <v/>
      </c>
      <c r="J436" s="18" t="n"/>
      <c r="K436" s="22">
        <f>IF(I436="","",IF(I436&gt;=$N$3,"Yes","No"))</f>
        <v/>
      </c>
    </row>
    <row r="437">
      <c r="A437" s="18" t="n"/>
      <c r="B437" s="19" t="n"/>
      <c r="C437" s="19" t="n"/>
      <c r="D437" s="19" t="n"/>
      <c r="E437" s="19" t="n"/>
      <c r="F437" s="20">
        <f>IF(A437="","",SUM(B437:E437))</f>
        <v/>
      </c>
      <c r="G437" s="19" t="n"/>
      <c r="H437" s="20">
        <f>IF(OR(A437="",G437=""),"",G437-F437)</f>
        <v/>
      </c>
      <c r="I437" s="21">
        <f>IF(OR(A437="",G437="",G437=0),"",H437/G437)</f>
        <v/>
      </c>
      <c r="J437" s="18" t="n"/>
      <c r="K437" s="22">
        <f>IF(I437="","",IF(I437&gt;=$N$3,"Yes","No"))</f>
        <v/>
      </c>
    </row>
    <row r="438">
      <c r="A438" s="18" t="n"/>
      <c r="B438" s="19" t="n"/>
      <c r="C438" s="19" t="n"/>
      <c r="D438" s="19" t="n"/>
      <c r="E438" s="19" t="n"/>
      <c r="F438" s="20">
        <f>IF(A438="","",SUM(B438:E438))</f>
        <v/>
      </c>
      <c r="G438" s="19" t="n"/>
      <c r="H438" s="20">
        <f>IF(OR(A438="",G438=""),"",G438-F438)</f>
        <v/>
      </c>
      <c r="I438" s="21">
        <f>IF(OR(A438="",G438="",G438=0),"",H438/G438)</f>
        <v/>
      </c>
      <c r="J438" s="18" t="n"/>
      <c r="K438" s="22">
        <f>IF(I438="","",IF(I438&gt;=$N$3,"Yes","No"))</f>
        <v/>
      </c>
    </row>
    <row r="439">
      <c r="A439" s="18" t="n"/>
      <c r="B439" s="19" t="n"/>
      <c r="C439" s="19" t="n"/>
      <c r="D439" s="19" t="n"/>
      <c r="E439" s="19" t="n"/>
      <c r="F439" s="20">
        <f>IF(A439="","",SUM(B439:E439))</f>
        <v/>
      </c>
      <c r="G439" s="19" t="n"/>
      <c r="H439" s="20">
        <f>IF(OR(A439="",G439=""),"",G439-F439)</f>
        <v/>
      </c>
      <c r="I439" s="21">
        <f>IF(OR(A439="",G439="",G439=0),"",H439/G439)</f>
        <v/>
      </c>
      <c r="J439" s="18" t="n"/>
      <c r="K439" s="22">
        <f>IF(I439="","",IF(I439&gt;=$N$3,"Yes","No"))</f>
        <v/>
      </c>
    </row>
    <row r="440">
      <c r="A440" s="18" t="n"/>
      <c r="B440" s="19" t="n"/>
      <c r="C440" s="19" t="n"/>
      <c r="D440" s="19" t="n"/>
      <c r="E440" s="19" t="n"/>
      <c r="F440" s="20">
        <f>IF(A440="","",SUM(B440:E440))</f>
        <v/>
      </c>
      <c r="G440" s="19" t="n"/>
      <c r="H440" s="20">
        <f>IF(OR(A440="",G440=""),"",G440-F440)</f>
        <v/>
      </c>
      <c r="I440" s="21">
        <f>IF(OR(A440="",G440="",G440=0),"",H440/G440)</f>
        <v/>
      </c>
      <c r="J440" s="18" t="n"/>
      <c r="K440" s="22">
        <f>IF(I440="","",IF(I440&gt;=$N$3,"Yes","No"))</f>
        <v/>
      </c>
    </row>
    <row r="441">
      <c r="A441" s="18" t="n"/>
      <c r="B441" s="19" t="n"/>
      <c r="C441" s="19" t="n"/>
      <c r="D441" s="19" t="n"/>
      <c r="E441" s="19" t="n"/>
      <c r="F441" s="20">
        <f>IF(A441="","",SUM(B441:E441))</f>
        <v/>
      </c>
      <c r="G441" s="19" t="n"/>
      <c r="H441" s="20">
        <f>IF(OR(A441="",G441=""),"",G441-F441)</f>
        <v/>
      </c>
      <c r="I441" s="21">
        <f>IF(OR(A441="",G441="",G441=0),"",H441/G441)</f>
        <v/>
      </c>
      <c r="J441" s="18" t="n"/>
      <c r="K441" s="22">
        <f>IF(I441="","",IF(I441&gt;=$N$3,"Yes","No"))</f>
        <v/>
      </c>
    </row>
    <row r="442">
      <c r="A442" s="18" t="n"/>
      <c r="B442" s="19" t="n"/>
      <c r="C442" s="19" t="n"/>
      <c r="D442" s="19" t="n"/>
      <c r="E442" s="19" t="n"/>
      <c r="F442" s="20">
        <f>IF(A442="","",SUM(B442:E442))</f>
        <v/>
      </c>
      <c r="G442" s="19" t="n"/>
      <c r="H442" s="20">
        <f>IF(OR(A442="",G442=""),"",G442-F442)</f>
        <v/>
      </c>
      <c r="I442" s="21">
        <f>IF(OR(A442="",G442="",G442=0),"",H442/G442)</f>
        <v/>
      </c>
      <c r="J442" s="18" t="n"/>
      <c r="K442" s="22">
        <f>IF(I442="","",IF(I442&gt;=$N$3,"Yes","No"))</f>
        <v/>
      </c>
    </row>
    <row r="443">
      <c r="A443" s="18" t="n"/>
      <c r="B443" s="19" t="n"/>
      <c r="C443" s="19" t="n"/>
      <c r="D443" s="19" t="n"/>
      <c r="E443" s="19" t="n"/>
      <c r="F443" s="20">
        <f>IF(A443="","",SUM(B443:E443))</f>
        <v/>
      </c>
      <c r="G443" s="19" t="n"/>
      <c r="H443" s="20">
        <f>IF(OR(A443="",G443=""),"",G443-F443)</f>
        <v/>
      </c>
      <c r="I443" s="21">
        <f>IF(OR(A443="",G443="",G443=0),"",H443/G443)</f>
        <v/>
      </c>
      <c r="J443" s="18" t="n"/>
      <c r="K443" s="22">
        <f>IF(I443="","",IF(I443&gt;=$N$3,"Yes","No"))</f>
        <v/>
      </c>
    </row>
    <row r="444">
      <c r="A444" s="18" t="n"/>
      <c r="B444" s="19" t="n"/>
      <c r="C444" s="19" t="n"/>
      <c r="D444" s="19" t="n"/>
      <c r="E444" s="19" t="n"/>
      <c r="F444" s="20">
        <f>IF(A444="","",SUM(B444:E444))</f>
        <v/>
      </c>
      <c r="G444" s="19" t="n"/>
      <c r="H444" s="20">
        <f>IF(OR(A444="",G444=""),"",G444-F444)</f>
        <v/>
      </c>
      <c r="I444" s="21">
        <f>IF(OR(A444="",G444="",G444=0),"",H444/G444)</f>
        <v/>
      </c>
      <c r="J444" s="18" t="n"/>
      <c r="K444" s="22">
        <f>IF(I444="","",IF(I444&gt;=$N$3,"Yes","No"))</f>
        <v/>
      </c>
    </row>
    <row r="445">
      <c r="A445" s="18" t="n"/>
      <c r="B445" s="19" t="n"/>
      <c r="C445" s="19" t="n"/>
      <c r="D445" s="19" t="n"/>
      <c r="E445" s="19" t="n"/>
      <c r="F445" s="20">
        <f>IF(A445="","",SUM(B445:E445))</f>
        <v/>
      </c>
      <c r="G445" s="19" t="n"/>
      <c r="H445" s="20">
        <f>IF(OR(A445="",G445=""),"",G445-F445)</f>
        <v/>
      </c>
      <c r="I445" s="21">
        <f>IF(OR(A445="",G445="",G445=0),"",H445/G445)</f>
        <v/>
      </c>
      <c r="J445" s="18" t="n"/>
      <c r="K445" s="22">
        <f>IF(I445="","",IF(I445&gt;=$N$3,"Yes","No"))</f>
        <v/>
      </c>
    </row>
    <row r="446">
      <c r="A446" s="18" t="n"/>
      <c r="B446" s="19" t="n"/>
      <c r="C446" s="19" t="n"/>
      <c r="D446" s="19" t="n"/>
      <c r="E446" s="19" t="n"/>
      <c r="F446" s="20">
        <f>IF(A446="","",SUM(B446:E446))</f>
        <v/>
      </c>
      <c r="G446" s="19" t="n"/>
      <c r="H446" s="20">
        <f>IF(OR(A446="",G446=""),"",G446-F446)</f>
        <v/>
      </c>
      <c r="I446" s="21">
        <f>IF(OR(A446="",G446="",G446=0),"",H446/G446)</f>
        <v/>
      </c>
      <c r="J446" s="18" t="n"/>
      <c r="K446" s="22">
        <f>IF(I446="","",IF(I446&gt;=$N$3,"Yes","No"))</f>
        <v/>
      </c>
    </row>
    <row r="447">
      <c r="A447" s="18" t="n"/>
      <c r="B447" s="19" t="n"/>
      <c r="C447" s="19" t="n"/>
      <c r="D447" s="19" t="n"/>
      <c r="E447" s="19" t="n"/>
      <c r="F447" s="20">
        <f>IF(A447="","",SUM(B447:E447))</f>
        <v/>
      </c>
      <c r="G447" s="19" t="n"/>
      <c r="H447" s="20">
        <f>IF(OR(A447="",G447=""),"",G447-F447)</f>
        <v/>
      </c>
      <c r="I447" s="21">
        <f>IF(OR(A447="",G447="",G447=0),"",H447/G447)</f>
        <v/>
      </c>
      <c r="J447" s="18" t="n"/>
      <c r="K447" s="22">
        <f>IF(I447="","",IF(I447&gt;=$N$3,"Yes","No"))</f>
        <v/>
      </c>
    </row>
    <row r="448">
      <c r="A448" s="18" t="n"/>
      <c r="B448" s="19" t="n"/>
      <c r="C448" s="19" t="n"/>
      <c r="D448" s="19" t="n"/>
      <c r="E448" s="19" t="n"/>
      <c r="F448" s="20">
        <f>IF(A448="","",SUM(B448:E448))</f>
        <v/>
      </c>
      <c r="G448" s="19" t="n"/>
      <c r="H448" s="20">
        <f>IF(OR(A448="",G448=""),"",G448-F448)</f>
        <v/>
      </c>
      <c r="I448" s="21">
        <f>IF(OR(A448="",G448="",G448=0),"",H448/G448)</f>
        <v/>
      </c>
      <c r="J448" s="18" t="n"/>
      <c r="K448" s="22">
        <f>IF(I448="","",IF(I448&gt;=$N$3,"Yes","No"))</f>
        <v/>
      </c>
    </row>
    <row r="449">
      <c r="A449" s="18" t="n"/>
      <c r="B449" s="19" t="n"/>
      <c r="C449" s="19" t="n"/>
      <c r="D449" s="19" t="n"/>
      <c r="E449" s="19" t="n"/>
      <c r="F449" s="20">
        <f>IF(A449="","",SUM(B449:E449))</f>
        <v/>
      </c>
      <c r="G449" s="19" t="n"/>
      <c r="H449" s="20">
        <f>IF(OR(A449="",G449=""),"",G449-F449)</f>
        <v/>
      </c>
      <c r="I449" s="21">
        <f>IF(OR(A449="",G449="",G449=0),"",H449/G449)</f>
        <v/>
      </c>
      <c r="J449" s="18" t="n"/>
      <c r="K449" s="22">
        <f>IF(I449="","",IF(I449&gt;=$N$3,"Yes","No"))</f>
        <v/>
      </c>
    </row>
    <row r="450">
      <c r="A450" s="18" t="n"/>
      <c r="B450" s="19" t="n"/>
      <c r="C450" s="19" t="n"/>
      <c r="D450" s="19" t="n"/>
      <c r="E450" s="19" t="n"/>
      <c r="F450" s="20">
        <f>IF(A450="","",SUM(B450:E450))</f>
        <v/>
      </c>
      <c r="G450" s="19" t="n"/>
      <c r="H450" s="20">
        <f>IF(OR(A450="",G450=""),"",G450-F450)</f>
        <v/>
      </c>
      <c r="I450" s="21">
        <f>IF(OR(A450="",G450="",G450=0),"",H450/G450)</f>
        <v/>
      </c>
      <c r="J450" s="18" t="n"/>
      <c r="K450" s="22">
        <f>IF(I450="","",IF(I450&gt;=$N$3,"Yes","No"))</f>
        <v/>
      </c>
    </row>
    <row r="451">
      <c r="A451" s="18" t="n"/>
      <c r="B451" s="19" t="n"/>
      <c r="C451" s="19" t="n"/>
      <c r="D451" s="19" t="n"/>
      <c r="E451" s="19" t="n"/>
      <c r="F451" s="20">
        <f>IF(A451="","",SUM(B451:E451))</f>
        <v/>
      </c>
      <c r="G451" s="19" t="n"/>
      <c r="H451" s="20">
        <f>IF(OR(A451="",G451=""),"",G451-F451)</f>
        <v/>
      </c>
      <c r="I451" s="21">
        <f>IF(OR(A451="",G451="",G451=0),"",H451/G451)</f>
        <v/>
      </c>
      <c r="J451" s="18" t="n"/>
      <c r="K451" s="22">
        <f>IF(I451="","",IF(I451&gt;=$N$3,"Yes","No"))</f>
        <v/>
      </c>
    </row>
    <row r="452">
      <c r="A452" s="18" t="n"/>
      <c r="B452" s="19" t="n"/>
      <c r="C452" s="19" t="n"/>
      <c r="D452" s="19" t="n"/>
      <c r="E452" s="19" t="n"/>
      <c r="F452" s="20">
        <f>IF(A452="","",SUM(B452:E452))</f>
        <v/>
      </c>
      <c r="G452" s="19" t="n"/>
      <c r="H452" s="20">
        <f>IF(OR(A452="",G452=""),"",G452-F452)</f>
        <v/>
      </c>
      <c r="I452" s="21">
        <f>IF(OR(A452="",G452="",G452=0),"",H452/G452)</f>
        <v/>
      </c>
      <c r="J452" s="18" t="n"/>
      <c r="K452" s="22">
        <f>IF(I452="","",IF(I452&gt;=$N$3,"Yes","No"))</f>
        <v/>
      </c>
    </row>
    <row r="453">
      <c r="A453" s="18" t="n"/>
      <c r="B453" s="19" t="n"/>
      <c r="C453" s="19" t="n"/>
      <c r="D453" s="19" t="n"/>
      <c r="E453" s="19" t="n"/>
      <c r="F453" s="20">
        <f>IF(A453="","",SUM(B453:E453))</f>
        <v/>
      </c>
      <c r="G453" s="19" t="n"/>
      <c r="H453" s="20">
        <f>IF(OR(A453="",G453=""),"",G453-F453)</f>
        <v/>
      </c>
      <c r="I453" s="21">
        <f>IF(OR(A453="",G453="",G453=0),"",H453/G453)</f>
        <v/>
      </c>
      <c r="J453" s="18" t="n"/>
      <c r="K453" s="22">
        <f>IF(I453="","",IF(I453&gt;=$N$3,"Yes","No"))</f>
        <v/>
      </c>
    </row>
    <row r="454">
      <c r="A454" s="18" t="n"/>
      <c r="B454" s="19" t="n"/>
      <c r="C454" s="19" t="n"/>
      <c r="D454" s="19" t="n"/>
      <c r="E454" s="19" t="n"/>
      <c r="F454" s="20">
        <f>IF(A454="","",SUM(B454:E454))</f>
        <v/>
      </c>
      <c r="G454" s="19" t="n"/>
      <c r="H454" s="20">
        <f>IF(OR(A454="",G454=""),"",G454-F454)</f>
        <v/>
      </c>
      <c r="I454" s="21">
        <f>IF(OR(A454="",G454="",G454=0),"",H454/G454)</f>
        <v/>
      </c>
      <c r="J454" s="18" t="n"/>
      <c r="K454" s="22">
        <f>IF(I454="","",IF(I454&gt;=$N$3,"Yes","No"))</f>
        <v/>
      </c>
    </row>
    <row r="455">
      <c r="A455" s="18" t="n"/>
      <c r="B455" s="19" t="n"/>
      <c r="C455" s="19" t="n"/>
      <c r="D455" s="19" t="n"/>
      <c r="E455" s="19" t="n"/>
      <c r="F455" s="20">
        <f>IF(A455="","",SUM(B455:E455))</f>
        <v/>
      </c>
      <c r="G455" s="19" t="n"/>
      <c r="H455" s="20">
        <f>IF(OR(A455="",G455=""),"",G455-F455)</f>
        <v/>
      </c>
      <c r="I455" s="21">
        <f>IF(OR(A455="",G455="",G455=0),"",H455/G455)</f>
        <v/>
      </c>
      <c r="J455" s="18" t="n"/>
      <c r="K455" s="22">
        <f>IF(I455="","",IF(I455&gt;=$N$3,"Yes","No"))</f>
        <v/>
      </c>
    </row>
    <row r="456">
      <c r="A456" s="18" t="n"/>
      <c r="B456" s="19" t="n"/>
      <c r="C456" s="19" t="n"/>
      <c r="D456" s="19" t="n"/>
      <c r="E456" s="19" t="n"/>
      <c r="F456" s="20">
        <f>IF(A456="","",SUM(B456:E456))</f>
        <v/>
      </c>
      <c r="G456" s="19" t="n"/>
      <c r="H456" s="20">
        <f>IF(OR(A456="",G456=""),"",G456-F456)</f>
        <v/>
      </c>
      <c r="I456" s="21">
        <f>IF(OR(A456="",G456="",G456=0),"",H456/G456)</f>
        <v/>
      </c>
      <c r="J456" s="18" t="n"/>
      <c r="K456" s="22">
        <f>IF(I456="","",IF(I456&gt;=$N$3,"Yes","No"))</f>
        <v/>
      </c>
    </row>
    <row r="457">
      <c r="A457" s="18" t="n"/>
      <c r="B457" s="19" t="n"/>
      <c r="C457" s="19" t="n"/>
      <c r="D457" s="19" t="n"/>
      <c r="E457" s="19" t="n"/>
      <c r="F457" s="20">
        <f>IF(A457="","",SUM(B457:E457))</f>
        <v/>
      </c>
      <c r="G457" s="19" t="n"/>
      <c r="H457" s="20">
        <f>IF(OR(A457="",G457=""),"",G457-F457)</f>
        <v/>
      </c>
      <c r="I457" s="21">
        <f>IF(OR(A457="",G457="",G457=0),"",H457/G457)</f>
        <v/>
      </c>
      <c r="J457" s="18" t="n"/>
      <c r="K457" s="22">
        <f>IF(I457="","",IF(I457&gt;=$N$3,"Yes","No"))</f>
        <v/>
      </c>
    </row>
    <row r="458">
      <c r="A458" s="18" t="n"/>
      <c r="B458" s="19" t="n"/>
      <c r="C458" s="19" t="n"/>
      <c r="D458" s="19" t="n"/>
      <c r="E458" s="19" t="n"/>
      <c r="F458" s="20">
        <f>IF(A458="","",SUM(B458:E458))</f>
        <v/>
      </c>
      <c r="G458" s="19" t="n"/>
      <c r="H458" s="20">
        <f>IF(OR(A458="",G458=""),"",G458-F458)</f>
        <v/>
      </c>
      <c r="I458" s="21">
        <f>IF(OR(A458="",G458="",G458=0),"",H458/G458)</f>
        <v/>
      </c>
      <c r="J458" s="18" t="n"/>
      <c r="K458" s="22">
        <f>IF(I458="","",IF(I458&gt;=$N$3,"Yes","No"))</f>
        <v/>
      </c>
    </row>
    <row r="459">
      <c r="A459" s="18" t="n"/>
      <c r="B459" s="19" t="n"/>
      <c r="C459" s="19" t="n"/>
      <c r="D459" s="19" t="n"/>
      <c r="E459" s="19" t="n"/>
      <c r="F459" s="20">
        <f>IF(A459="","",SUM(B459:E459))</f>
        <v/>
      </c>
      <c r="G459" s="19" t="n"/>
      <c r="H459" s="20">
        <f>IF(OR(A459="",G459=""),"",G459-F459)</f>
        <v/>
      </c>
      <c r="I459" s="21">
        <f>IF(OR(A459="",G459="",G459=0),"",H459/G459)</f>
        <v/>
      </c>
      <c r="J459" s="18" t="n"/>
      <c r="K459" s="22">
        <f>IF(I459="","",IF(I459&gt;=$N$3,"Yes","No"))</f>
        <v/>
      </c>
    </row>
    <row r="460">
      <c r="A460" s="18" t="n"/>
      <c r="B460" s="19" t="n"/>
      <c r="C460" s="19" t="n"/>
      <c r="D460" s="19" t="n"/>
      <c r="E460" s="19" t="n"/>
      <c r="F460" s="20">
        <f>IF(A460="","",SUM(B460:E460))</f>
        <v/>
      </c>
      <c r="G460" s="19" t="n"/>
      <c r="H460" s="20">
        <f>IF(OR(A460="",G460=""),"",G460-F460)</f>
        <v/>
      </c>
      <c r="I460" s="21">
        <f>IF(OR(A460="",G460="",G460=0),"",H460/G460)</f>
        <v/>
      </c>
      <c r="J460" s="18" t="n"/>
      <c r="K460" s="22">
        <f>IF(I460="","",IF(I460&gt;=$N$3,"Yes","No"))</f>
        <v/>
      </c>
    </row>
    <row r="461">
      <c r="A461" s="18" t="n"/>
      <c r="B461" s="19" t="n"/>
      <c r="C461" s="19" t="n"/>
      <c r="D461" s="19" t="n"/>
      <c r="E461" s="19" t="n"/>
      <c r="F461" s="20">
        <f>IF(A461="","",SUM(B461:E461))</f>
        <v/>
      </c>
      <c r="G461" s="19" t="n"/>
      <c r="H461" s="20">
        <f>IF(OR(A461="",G461=""),"",G461-F461)</f>
        <v/>
      </c>
      <c r="I461" s="21">
        <f>IF(OR(A461="",G461="",G461=0),"",H461/G461)</f>
        <v/>
      </c>
      <c r="J461" s="18" t="n"/>
      <c r="K461" s="22">
        <f>IF(I461="","",IF(I461&gt;=$N$3,"Yes","No"))</f>
        <v/>
      </c>
    </row>
    <row r="462">
      <c r="A462" s="18" t="n"/>
      <c r="B462" s="19" t="n"/>
      <c r="C462" s="19" t="n"/>
      <c r="D462" s="19" t="n"/>
      <c r="E462" s="19" t="n"/>
      <c r="F462" s="20">
        <f>IF(A462="","",SUM(B462:E462))</f>
        <v/>
      </c>
      <c r="G462" s="19" t="n"/>
      <c r="H462" s="20">
        <f>IF(OR(A462="",G462=""),"",G462-F462)</f>
        <v/>
      </c>
      <c r="I462" s="21">
        <f>IF(OR(A462="",G462="",G462=0),"",H462/G462)</f>
        <v/>
      </c>
      <c r="J462" s="18" t="n"/>
      <c r="K462" s="22">
        <f>IF(I462="","",IF(I462&gt;=$N$3,"Yes","No"))</f>
        <v/>
      </c>
    </row>
    <row r="463">
      <c r="A463" s="18" t="n"/>
      <c r="B463" s="19" t="n"/>
      <c r="C463" s="19" t="n"/>
      <c r="D463" s="19" t="n"/>
      <c r="E463" s="19" t="n"/>
      <c r="F463" s="20">
        <f>IF(A463="","",SUM(B463:E463))</f>
        <v/>
      </c>
      <c r="G463" s="19" t="n"/>
      <c r="H463" s="20">
        <f>IF(OR(A463="",G463=""),"",G463-F463)</f>
        <v/>
      </c>
      <c r="I463" s="21">
        <f>IF(OR(A463="",G463="",G463=0),"",H463/G463)</f>
        <v/>
      </c>
      <c r="J463" s="18" t="n"/>
      <c r="K463" s="22">
        <f>IF(I463="","",IF(I463&gt;=$N$3,"Yes","No"))</f>
        <v/>
      </c>
    </row>
    <row r="464">
      <c r="A464" s="18" t="n"/>
      <c r="B464" s="19" t="n"/>
      <c r="C464" s="19" t="n"/>
      <c r="D464" s="19" t="n"/>
      <c r="E464" s="19" t="n"/>
      <c r="F464" s="20">
        <f>IF(A464="","",SUM(B464:E464))</f>
        <v/>
      </c>
      <c r="G464" s="19" t="n"/>
      <c r="H464" s="20">
        <f>IF(OR(A464="",G464=""),"",G464-F464)</f>
        <v/>
      </c>
      <c r="I464" s="21">
        <f>IF(OR(A464="",G464="",G464=0),"",H464/G464)</f>
        <v/>
      </c>
      <c r="J464" s="18" t="n"/>
      <c r="K464" s="22">
        <f>IF(I464="","",IF(I464&gt;=$N$3,"Yes","No"))</f>
        <v/>
      </c>
    </row>
    <row r="465">
      <c r="A465" s="18" t="n"/>
      <c r="B465" s="19" t="n"/>
      <c r="C465" s="19" t="n"/>
      <c r="D465" s="19" t="n"/>
      <c r="E465" s="19" t="n"/>
      <c r="F465" s="20">
        <f>IF(A465="","",SUM(B465:E465))</f>
        <v/>
      </c>
      <c r="G465" s="19" t="n"/>
      <c r="H465" s="20">
        <f>IF(OR(A465="",G465=""),"",G465-F465)</f>
        <v/>
      </c>
      <c r="I465" s="21">
        <f>IF(OR(A465="",G465="",G465=0),"",H465/G465)</f>
        <v/>
      </c>
      <c r="J465" s="18" t="n"/>
      <c r="K465" s="22">
        <f>IF(I465="","",IF(I465&gt;=$N$3,"Yes","No"))</f>
        <v/>
      </c>
    </row>
    <row r="466">
      <c r="A466" s="18" t="n"/>
      <c r="B466" s="19" t="n"/>
      <c r="C466" s="19" t="n"/>
      <c r="D466" s="19" t="n"/>
      <c r="E466" s="19" t="n"/>
      <c r="F466" s="20">
        <f>IF(A466="","",SUM(B466:E466))</f>
        <v/>
      </c>
      <c r="G466" s="19" t="n"/>
      <c r="H466" s="20">
        <f>IF(OR(A466="",G466=""),"",G466-F466)</f>
        <v/>
      </c>
      <c r="I466" s="21">
        <f>IF(OR(A466="",G466="",G466=0),"",H466/G466)</f>
        <v/>
      </c>
      <c r="J466" s="18" t="n"/>
      <c r="K466" s="22">
        <f>IF(I466="","",IF(I466&gt;=$N$3,"Yes","No"))</f>
        <v/>
      </c>
    </row>
    <row r="467">
      <c r="A467" s="18" t="n"/>
      <c r="B467" s="19" t="n"/>
      <c r="C467" s="19" t="n"/>
      <c r="D467" s="19" t="n"/>
      <c r="E467" s="19" t="n"/>
      <c r="F467" s="20">
        <f>IF(A467="","",SUM(B467:E467))</f>
        <v/>
      </c>
      <c r="G467" s="19" t="n"/>
      <c r="H467" s="20">
        <f>IF(OR(A467="",G467=""),"",G467-F467)</f>
        <v/>
      </c>
      <c r="I467" s="21">
        <f>IF(OR(A467="",G467="",G467=0),"",H467/G467)</f>
        <v/>
      </c>
      <c r="J467" s="18" t="n"/>
      <c r="K467" s="22">
        <f>IF(I467="","",IF(I467&gt;=$N$3,"Yes","No"))</f>
        <v/>
      </c>
    </row>
    <row r="468">
      <c r="A468" s="18" t="n"/>
      <c r="B468" s="19" t="n"/>
      <c r="C468" s="19" t="n"/>
      <c r="D468" s="19" t="n"/>
      <c r="E468" s="19" t="n"/>
      <c r="F468" s="20">
        <f>IF(A468="","",SUM(B468:E468))</f>
        <v/>
      </c>
      <c r="G468" s="19" t="n"/>
      <c r="H468" s="20">
        <f>IF(OR(A468="",G468=""),"",G468-F468)</f>
        <v/>
      </c>
      <c r="I468" s="21">
        <f>IF(OR(A468="",G468="",G468=0),"",H468/G468)</f>
        <v/>
      </c>
      <c r="J468" s="18" t="n"/>
      <c r="K468" s="22">
        <f>IF(I468="","",IF(I468&gt;=$N$3,"Yes","No"))</f>
        <v/>
      </c>
    </row>
    <row r="469">
      <c r="A469" s="18" t="n"/>
      <c r="B469" s="19" t="n"/>
      <c r="C469" s="19" t="n"/>
      <c r="D469" s="19" t="n"/>
      <c r="E469" s="19" t="n"/>
      <c r="F469" s="20">
        <f>IF(A469="","",SUM(B469:E469))</f>
        <v/>
      </c>
      <c r="G469" s="19" t="n"/>
      <c r="H469" s="20">
        <f>IF(OR(A469="",G469=""),"",G469-F469)</f>
        <v/>
      </c>
      <c r="I469" s="21">
        <f>IF(OR(A469="",G469="",G469=0),"",H469/G469)</f>
        <v/>
      </c>
      <c r="J469" s="18" t="n"/>
      <c r="K469" s="22">
        <f>IF(I469="","",IF(I469&gt;=$N$3,"Yes","No"))</f>
        <v/>
      </c>
    </row>
    <row r="470">
      <c r="A470" s="18" t="n"/>
      <c r="B470" s="19" t="n"/>
      <c r="C470" s="19" t="n"/>
      <c r="D470" s="19" t="n"/>
      <c r="E470" s="19" t="n"/>
      <c r="F470" s="20">
        <f>IF(A470="","",SUM(B470:E470))</f>
        <v/>
      </c>
      <c r="G470" s="19" t="n"/>
      <c r="H470" s="20">
        <f>IF(OR(A470="",G470=""),"",G470-F470)</f>
        <v/>
      </c>
      <c r="I470" s="21">
        <f>IF(OR(A470="",G470="",G470=0),"",H470/G470)</f>
        <v/>
      </c>
      <c r="J470" s="18" t="n"/>
      <c r="K470" s="22">
        <f>IF(I470="","",IF(I470&gt;=$N$3,"Yes","No"))</f>
        <v/>
      </c>
    </row>
    <row r="471">
      <c r="A471" s="18" t="n"/>
      <c r="B471" s="19" t="n"/>
      <c r="C471" s="19" t="n"/>
      <c r="D471" s="19" t="n"/>
      <c r="E471" s="19" t="n"/>
      <c r="F471" s="20">
        <f>IF(A471="","",SUM(B471:E471))</f>
        <v/>
      </c>
      <c r="G471" s="19" t="n"/>
      <c r="H471" s="20">
        <f>IF(OR(A471="",G471=""),"",G471-F471)</f>
        <v/>
      </c>
      <c r="I471" s="21">
        <f>IF(OR(A471="",G471="",G471=0),"",H471/G471)</f>
        <v/>
      </c>
      <c r="J471" s="18" t="n"/>
      <c r="K471" s="22">
        <f>IF(I471="","",IF(I471&gt;=$N$3,"Yes","No"))</f>
        <v/>
      </c>
    </row>
    <row r="472">
      <c r="A472" s="18" t="n"/>
      <c r="B472" s="19" t="n"/>
      <c r="C472" s="19" t="n"/>
      <c r="D472" s="19" t="n"/>
      <c r="E472" s="19" t="n"/>
      <c r="F472" s="20">
        <f>IF(A472="","",SUM(B472:E472))</f>
        <v/>
      </c>
      <c r="G472" s="19" t="n"/>
      <c r="H472" s="20">
        <f>IF(OR(A472="",G472=""),"",G472-F472)</f>
        <v/>
      </c>
      <c r="I472" s="21">
        <f>IF(OR(A472="",G472="",G472=0),"",H472/G472)</f>
        <v/>
      </c>
      <c r="J472" s="18" t="n"/>
      <c r="K472" s="22">
        <f>IF(I472="","",IF(I472&gt;=$N$3,"Yes","No"))</f>
        <v/>
      </c>
    </row>
    <row r="473">
      <c r="A473" s="18" t="n"/>
      <c r="B473" s="19" t="n"/>
      <c r="C473" s="19" t="n"/>
      <c r="D473" s="19" t="n"/>
      <c r="E473" s="19" t="n"/>
      <c r="F473" s="20">
        <f>IF(A473="","",SUM(B473:E473))</f>
        <v/>
      </c>
      <c r="G473" s="19" t="n"/>
      <c r="H473" s="20">
        <f>IF(OR(A473="",G473=""),"",G473-F473)</f>
        <v/>
      </c>
      <c r="I473" s="21">
        <f>IF(OR(A473="",G473="",G473=0),"",H473/G473)</f>
        <v/>
      </c>
      <c r="J473" s="18" t="n"/>
      <c r="K473" s="22">
        <f>IF(I473="","",IF(I473&gt;=$N$3,"Yes","No"))</f>
        <v/>
      </c>
    </row>
    <row r="474">
      <c r="A474" s="18" t="n"/>
      <c r="B474" s="19" t="n"/>
      <c r="C474" s="19" t="n"/>
      <c r="D474" s="19" t="n"/>
      <c r="E474" s="19" t="n"/>
      <c r="F474" s="20">
        <f>IF(A474="","",SUM(B474:E474))</f>
        <v/>
      </c>
      <c r="G474" s="19" t="n"/>
      <c r="H474" s="20">
        <f>IF(OR(A474="",G474=""),"",G474-F474)</f>
        <v/>
      </c>
      <c r="I474" s="21">
        <f>IF(OR(A474="",G474="",G474=0),"",H474/G474)</f>
        <v/>
      </c>
      <c r="J474" s="18" t="n"/>
      <c r="K474" s="22">
        <f>IF(I474="","",IF(I474&gt;=$N$3,"Yes","No"))</f>
        <v/>
      </c>
    </row>
    <row r="475">
      <c r="A475" s="18" t="n"/>
      <c r="B475" s="19" t="n"/>
      <c r="C475" s="19" t="n"/>
      <c r="D475" s="19" t="n"/>
      <c r="E475" s="19" t="n"/>
      <c r="F475" s="20">
        <f>IF(A475="","",SUM(B475:E475))</f>
        <v/>
      </c>
      <c r="G475" s="19" t="n"/>
      <c r="H475" s="20">
        <f>IF(OR(A475="",G475=""),"",G475-F475)</f>
        <v/>
      </c>
      <c r="I475" s="21">
        <f>IF(OR(A475="",G475="",G475=0),"",H475/G475)</f>
        <v/>
      </c>
      <c r="J475" s="18" t="n"/>
      <c r="K475" s="22">
        <f>IF(I475="","",IF(I475&gt;=$N$3,"Yes","No"))</f>
        <v/>
      </c>
    </row>
    <row r="476">
      <c r="A476" s="18" t="n"/>
      <c r="B476" s="19" t="n"/>
      <c r="C476" s="19" t="n"/>
      <c r="D476" s="19" t="n"/>
      <c r="E476" s="19" t="n"/>
      <c r="F476" s="20">
        <f>IF(A476="","",SUM(B476:E476))</f>
        <v/>
      </c>
      <c r="G476" s="19" t="n"/>
      <c r="H476" s="20">
        <f>IF(OR(A476="",G476=""),"",G476-F476)</f>
        <v/>
      </c>
      <c r="I476" s="21">
        <f>IF(OR(A476="",G476="",G476=0),"",H476/G476)</f>
        <v/>
      </c>
      <c r="J476" s="18" t="n"/>
      <c r="K476" s="22">
        <f>IF(I476="","",IF(I476&gt;=$N$3,"Yes","No"))</f>
        <v/>
      </c>
    </row>
    <row r="477">
      <c r="A477" s="18" t="n"/>
      <c r="B477" s="19" t="n"/>
      <c r="C477" s="19" t="n"/>
      <c r="D477" s="19" t="n"/>
      <c r="E477" s="19" t="n"/>
      <c r="F477" s="20">
        <f>IF(A477="","",SUM(B477:E477))</f>
        <v/>
      </c>
      <c r="G477" s="19" t="n"/>
      <c r="H477" s="20">
        <f>IF(OR(A477="",G477=""),"",G477-F477)</f>
        <v/>
      </c>
      <c r="I477" s="21">
        <f>IF(OR(A477="",G477="",G477=0),"",H477/G477)</f>
        <v/>
      </c>
      <c r="J477" s="18" t="n"/>
      <c r="K477" s="22">
        <f>IF(I477="","",IF(I477&gt;=$N$3,"Yes","No"))</f>
        <v/>
      </c>
    </row>
    <row r="478">
      <c r="A478" s="18" t="n"/>
      <c r="B478" s="19" t="n"/>
      <c r="C478" s="19" t="n"/>
      <c r="D478" s="19" t="n"/>
      <c r="E478" s="19" t="n"/>
      <c r="F478" s="20">
        <f>IF(A478="","",SUM(B478:E478))</f>
        <v/>
      </c>
      <c r="G478" s="19" t="n"/>
      <c r="H478" s="20">
        <f>IF(OR(A478="",G478=""),"",G478-F478)</f>
        <v/>
      </c>
      <c r="I478" s="21">
        <f>IF(OR(A478="",G478="",G478=0),"",H478/G478)</f>
        <v/>
      </c>
      <c r="J478" s="18" t="n"/>
      <c r="K478" s="22">
        <f>IF(I478="","",IF(I478&gt;=$N$3,"Yes","No"))</f>
        <v/>
      </c>
    </row>
    <row r="479">
      <c r="A479" s="18" t="n"/>
      <c r="B479" s="19" t="n"/>
      <c r="C479" s="19" t="n"/>
      <c r="D479" s="19" t="n"/>
      <c r="E479" s="19" t="n"/>
      <c r="F479" s="20">
        <f>IF(A479="","",SUM(B479:E479))</f>
        <v/>
      </c>
      <c r="G479" s="19" t="n"/>
      <c r="H479" s="20">
        <f>IF(OR(A479="",G479=""),"",G479-F479)</f>
        <v/>
      </c>
      <c r="I479" s="21">
        <f>IF(OR(A479="",G479="",G479=0),"",H479/G479)</f>
        <v/>
      </c>
      <c r="J479" s="18" t="n"/>
      <c r="K479" s="22">
        <f>IF(I479="","",IF(I479&gt;=$N$3,"Yes","No"))</f>
        <v/>
      </c>
    </row>
    <row r="480">
      <c r="A480" s="18" t="n"/>
      <c r="B480" s="19" t="n"/>
      <c r="C480" s="19" t="n"/>
      <c r="D480" s="19" t="n"/>
      <c r="E480" s="19" t="n"/>
      <c r="F480" s="20">
        <f>IF(A480="","",SUM(B480:E480))</f>
        <v/>
      </c>
      <c r="G480" s="19" t="n"/>
      <c r="H480" s="20">
        <f>IF(OR(A480="",G480=""),"",G480-F480)</f>
        <v/>
      </c>
      <c r="I480" s="21">
        <f>IF(OR(A480="",G480="",G480=0),"",H480/G480)</f>
        <v/>
      </c>
      <c r="J480" s="18" t="n"/>
      <c r="K480" s="22">
        <f>IF(I480="","",IF(I480&gt;=$N$3,"Yes","No"))</f>
        <v/>
      </c>
    </row>
    <row r="481">
      <c r="A481" s="18" t="n"/>
      <c r="B481" s="19" t="n"/>
      <c r="C481" s="19" t="n"/>
      <c r="D481" s="19" t="n"/>
      <c r="E481" s="19" t="n"/>
      <c r="F481" s="20">
        <f>IF(A481="","",SUM(B481:E481))</f>
        <v/>
      </c>
      <c r="G481" s="19" t="n"/>
      <c r="H481" s="20">
        <f>IF(OR(A481="",G481=""),"",G481-F481)</f>
        <v/>
      </c>
      <c r="I481" s="21">
        <f>IF(OR(A481="",G481="",G481=0),"",H481/G481)</f>
        <v/>
      </c>
      <c r="J481" s="18" t="n"/>
      <c r="K481" s="22">
        <f>IF(I481="","",IF(I481&gt;=$N$3,"Yes","No"))</f>
        <v/>
      </c>
    </row>
    <row r="482">
      <c r="A482" s="18" t="n"/>
      <c r="B482" s="19" t="n"/>
      <c r="C482" s="19" t="n"/>
      <c r="D482" s="19" t="n"/>
      <c r="E482" s="19" t="n"/>
      <c r="F482" s="20">
        <f>IF(A482="","",SUM(B482:E482))</f>
        <v/>
      </c>
      <c r="G482" s="19" t="n"/>
      <c r="H482" s="20">
        <f>IF(OR(A482="",G482=""),"",G482-F482)</f>
        <v/>
      </c>
      <c r="I482" s="21">
        <f>IF(OR(A482="",G482="",G482=0),"",H482/G482)</f>
        <v/>
      </c>
      <c r="J482" s="18" t="n"/>
      <c r="K482" s="22">
        <f>IF(I482="","",IF(I482&gt;=$N$3,"Yes","No"))</f>
        <v/>
      </c>
    </row>
    <row r="483">
      <c r="A483" s="18" t="n"/>
      <c r="B483" s="19" t="n"/>
      <c r="C483" s="19" t="n"/>
      <c r="D483" s="19" t="n"/>
      <c r="E483" s="19" t="n"/>
      <c r="F483" s="20">
        <f>IF(A483="","",SUM(B483:E483))</f>
        <v/>
      </c>
      <c r="G483" s="19" t="n"/>
      <c r="H483" s="20">
        <f>IF(OR(A483="",G483=""),"",G483-F483)</f>
        <v/>
      </c>
      <c r="I483" s="21">
        <f>IF(OR(A483="",G483="",G483=0),"",H483/G483)</f>
        <v/>
      </c>
      <c r="J483" s="18" t="n"/>
      <c r="K483" s="22">
        <f>IF(I483="","",IF(I483&gt;=$N$3,"Yes","No"))</f>
        <v/>
      </c>
    </row>
    <row r="484">
      <c r="A484" s="18" t="n"/>
      <c r="B484" s="19" t="n"/>
      <c r="C484" s="19" t="n"/>
      <c r="D484" s="19" t="n"/>
      <c r="E484" s="19" t="n"/>
      <c r="F484" s="20">
        <f>IF(A484="","",SUM(B484:E484))</f>
        <v/>
      </c>
      <c r="G484" s="19" t="n"/>
      <c r="H484" s="20">
        <f>IF(OR(A484="",G484=""),"",G484-F484)</f>
        <v/>
      </c>
      <c r="I484" s="21">
        <f>IF(OR(A484="",G484="",G484=0),"",H484/G484)</f>
        <v/>
      </c>
      <c r="J484" s="18" t="n"/>
      <c r="K484" s="22">
        <f>IF(I484="","",IF(I484&gt;=$N$3,"Yes","No"))</f>
        <v/>
      </c>
    </row>
    <row r="485">
      <c r="A485" s="18" t="n"/>
      <c r="B485" s="19" t="n"/>
      <c r="C485" s="19" t="n"/>
      <c r="D485" s="19" t="n"/>
      <c r="E485" s="19" t="n"/>
      <c r="F485" s="20">
        <f>IF(A485="","",SUM(B485:E485))</f>
        <v/>
      </c>
      <c r="G485" s="19" t="n"/>
      <c r="H485" s="20">
        <f>IF(OR(A485="",G485=""),"",G485-F485)</f>
        <v/>
      </c>
      <c r="I485" s="21">
        <f>IF(OR(A485="",G485="",G485=0),"",H485/G485)</f>
        <v/>
      </c>
      <c r="J485" s="18" t="n"/>
      <c r="K485" s="22">
        <f>IF(I485="","",IF(I485&gt;=$N$3,"Yes","No"))</f>
        <v/>
      </c>
    </row>
    <row r="486">
      <c r="A486" s="18" t="n"/>
      <c r="B486" s="19" t="n"/>
      <c r="C486" s="19" t="n"/>
      <c r="D486" s="19" t="n"/>
      <c r="E486" s="19" t="n"/>
      <c r="F486" s="20">
        <f>IF(A486="","",SUM(B486:E486))</f>
        <v/>
      </c>
      <c r="G486" s="19" t="n"/>
      <c r="H486" s="20">
        <f>IF(OR(A486="",G486=""),"",G486-F486)</f>
        <v/>
      </c>
      <c r="I486" s="21">
        <f>IF(OR(A486="",G486="",G486=0),"",H486/G486)</f>
        <v/>
      </c>
      <c r="J486" s="18" t="n"/>
      <c r="K486" s="22">
        <f>IF(I486="","",IF(I486&gt;=$N$3,"Yes","No"))</f>
        <v/>
      </c>
    </row>
    <row r="487">
      <c r="A487" s="18" t="n"/>
      <c r="B487" s="19" t="n"/>
      <c r="C487" s="19" t="n"/>
      <c r="D487" s="19" t="n"/>
      <c r="E487" s="19" t="n"/>
      <c r="F487" s="20">
        <f>IF(A487="","",SUM(B487:E487))</f>
        <v/>
      </c>
      <c r="G487" s="19" t="n"/>
      <c r="H487" s="20">
        <f>IF(OR(A487="",G487=""),"",G487-F487)</f>
        <v/>
      </c>
      <c r="I487" s="21">
        <f>IF(OR(A487="",G487="",G487=0),"",H487/G487)</f>
        <v/>
      </c>
      <c r="J487" s="18" t="n"/>
      <c r="K487" s="22">
        <f>IF(I487="","",IF(I487&gt;=$N$3,"Yes","No"))</f>
        <v/>
      </c>
    </row>
    <row r="488">
      <c r="A488" s="18" t="n"/>
      <c r="B488" s="19" t="n"/>
      <c r="C488" s="19" t="n"/>
      <c r="D488" s="19" t="n"/>
      <c r="E488" s="19" t="n"/>
      <c r="F488" s="20">
        <f>IF(A488="","",SUM(B488:E488))</f>
        <v/>
      </c>
      <c r="G488" s="19" t="n"/>
      <c r="H488" s="20">
        <f>IF(OR(A488="",G488=""),"",G488-F488)</f>
        <v/>
      </c>
      <c r="I488" s="21">
        <f>IF(OR(A488="",G488="",G488=0),"",H488/G488)</f>
        <v/>
      </c>
      <c r="J488" s="18" t="n"/>
      <c r="K488" s="22">
        <f>IF(I488="","",IF(I488&gt;=$N$3,"Yes","No"))</f>
        <v/>
      </c>
    </row>
    <row r="489">
      <c r="A489" s="18" t="n"/>
      <c r="B489" s="19" t="n"/>
      <c r="C489" s="19" t="n"/>
      <c r="D489" s="19" t="n"/>
      <c r="E489" s="19" t="n"/>
      <c r="F489" s="20">
        <f>IF(A489="","",SUM(B489:E489))</f>
        <v/>
      </c>
      <c r="G489" s="19" t="n"/>
      <c r="H489" s="20">
        <f>IF(OR(A489="",G489=""),"",G489-F489)</f>
        <v/>
      </c>
      <c r="I489" s="21">
        <f>IF(OR(A489="",G489="",G489=0),"",H489/G489)</f>
        <v/>
      </c>
      <c r="J489" s="18" t="n"/>
      <c r="K489" s="22">
        <f>IF(I489="","",IF(I489&gt;=$N$3,"Yes","No"))</f>
        <v/>
      </c>
    </row>
    <row r="490">
      <c r="A490" s="18" t="n"/>
      <c r="B490" s="19" t="n"/>
      <c r="C490" s="19" t="n"/>
      <c r="D490" s="19" t="n"/>
      <c r="E490" s="19" t="n"/>
      <c r="F490" s="20">
        <f>IF(A490="","",SUM(B490:E490))</f>
        <v/>
      </c>
      <c r="G490" s="19" t="n"/>
      <c r="H490" s="20">
        <f>IF(OR(A490="",G490=""),"",G490-F490)</f>
        <v/>
      </c>
      <c r="I490" s="21">
        <f>IF(OR(A490="",G490="",G490=0),"",H490/G490)</f>
        <v/>
      </c>
      <c r="J490" s="18" t="n"/>
      <c r="K490" s="22">
        <f>IF(I490="","",IF(I490&gt;=$N$3,"Yes","No"))</f>
        <v/>
      </c>
    </row>
    <row r="491">
      <c r="A491" s="18" t="n"/>
      <c r="B491" s="19" t="n"/>
      <c r="C491" s="19" t="n"/>
      <c r="D491" s="19" t="n"/>
      <c r="E491" s="19" t="n"/>
      <c r="F491" s="20">
        <f>IF(A491="","",SUM(B491:E491))</f>
        <v/>
      </c>
      <c r="G491" s="19" t="n"/>
      <c r="H491" s="20">
        <f>IF(OR(A491="",G491=""),"",G491-F491)</f>
        <v/>
      </c>
      <c r="I491" s="21">
        <f>IF(OR(A491="",G491="",G491=0),"",H491/G491)</f>
        <v/>
      </c>
      <c r="J491" s="18" t="n"/>
      <c r="K491" s="22">
        <f>IF(I491="","",IF(I491&gt;=$N$3,"Yes","No"))</f>
        <v/>
      </c>
    </row>
    <row r="492">
      <c r="A492" s="18" t="n"/>
      <c r="B492" s="19" t="n"/>
      <c r="C492" s="19" t="n"/>
      <c r="D492" s="19" t="n"/>
      <c r="E492" s="19" t="n"/>
      <c r="F492" s="20">
        <f>IF(A492="","",SUM(B492:E492))</f>
        <v/>
      </c>
      <c r="G492" s="19" t="n"/>
      <c r="H492" s="20">
        <f>IF(OR(A492="",G492=""),"",G492-F492)</f>
        <v/>
      </c>
      <c r="I492" s="21">
        <f>IF(OR(A492="",G492="",G492=0),"",H492/G492)</f>
        <v/>
      </c>
      <c r="J492" s="18" t="n"/>
      <c r="K492" s="22">
        <f>IF(I492="","",IF(I492&gt;=$N$3,"Yes","No"))</f>
        <v/>
      </c>
    </row>
    <row r="493">
      <c r="A493" s="18" t="n"/>
      <c r="B493" s="19" t="n"/>
      <c r="C493" s="19" t="n"/>
      <c r="D493" s="19" t="n"/>
      <c r="E493" s="19" t="n"/>
      <c r="F493" s="20">
        <f>IF(A493="","",SUM(B493:E493))</f>
        <v/>
      </c>
      <c r="G493" s="19" t="n"/>
      <c r="H493" s="20">
        <f>IF(OR(A493="",G493=""),"",G493-F493)</f>
        <v/>
      </c>
      <c r="I493" s="21">
        <f>IF(OR(A493="",G493="",G493=0),"",H493/G493)</f>
        <v/>
      </c>
      <c r="J493" s="18" t="n"/>
      <c r="K493" s="22">
        <f>IF(I493="","",IF(I493&gt;=$N$3,"Yes","No"))</f>
        <v/>
      </c>
    </row>
    <row r="494">
      <c r="A494" s="18" t="n"/>
      <c r="B494" s="19" t="n"/>
      <c r="C494" s="19" t="n"/>
      <c r="D494" s="19" t="n"/>
      <c r="E494" s="19" t="n"/>
      <c r="F494" s="20">
        <f>IF(A494="","",SUM(B494:E494))</f>
        <v/>
      </c>
      <c r="G494" s="19" t="n"/>
      <c r="H494" s="20">
        <f>IF(OR(A494="",G494=""),"",G494-F494)</f>
        <v/>
      </c>
      <c r="I494" s="21">
        <f>IF(OR(A494="",G494="",G494=0),"",H494/G494)</f>
        <v/>
      </c>
      <c r="J494" s="18" t="n"/>
      <c r="K494" s="22">
        <f>IF(I494="","",IF(I494&gt;=$N$3,"Yes","No"))</f>
        <v/>
      </c>
    </row>
    <row r="495">
      <c r="A495" s="18" t="n"/>
      <c r="B495" s="19" t="n"/>
      <c r="C495" s="19" t="n"/>
      <c r="D495" s="19" t="n"/>
      <c r="E495" s="19" t="n"/>
      <c r="F495" s="20">
        <f>IF(A495="","",SUM(B495:E495))</f>
        <v/>
      </c>
      <c r="G495" s="19" t="n"/>
      <c r="H495" s="20">
        <f>IF(OR(A495="",G495=""),"",G495-F495)</f>
        <v/>
      </c>
      <c r="I495" s="21">
        <f>IF(OR(A495="",G495="",G495=0),"",H495/G495)</f>
        <v/>
      </c>
      <c r="J495" s="18" t="n"/>
      <c r="K495" s="22">
        <f>IF(I495="","",IF(I495&gt;=$N$3,"Yes","No"))</f>
        <v/>
      </c>
    </row>
    <row r="496">
      <c r="A496" s="18" t="n"/>
      <c r="B496" s="19" t="n"/>
      <c r="C496" s="19" t="n"/>
      <c r="D496" s="19" t="n"/>
      <c r="E496" s="19" t="n"/>
      <c r="F496" s="20">
        <f>IF(A496="","",SUM(B496:E496))</f>
        <v/>
      </c>
      <c r="G496" s="19" t="n"/>
      <c r="H496" s="20">
        <f>IF(OR(A496="",G496=""),"",G496-F496)</f>
        <v/>
      </c>
      <c r="I496" s="21">
        <f>IF(OR(A496="",G496="",G496=0),"",H496/G496)</f>
        <v/>
      </c>
      <c r="J496" s="18" t="n"/>
      <c r="K496" s="22">
        <f>IF(I496="","",IF(I496&gt;=$N$3,"Yes","No"))</f>
        <v/>
      </c>
    </row>
    <row r="497">
      <c r="A497" s="18" t="n"/>
      <c r="B497" s="19" t="n"/>
      <c r="C497" s="19" t="n"/>
      <c r="D497" s="19" t="n"/>
      <c r="E497" s="19" t="n"/>
      <c r="F497" s="20">
        <f>IF(A497="","",SUM(B497:E497))</f>
        <v/>
      </c>
      <c r="G497" s="19" t="n"/>
      <c r="H497" s="20">
        <f>IF(OR(A497="",G497=""),"",G497-F497)</f>
        <v/>
      </c>
      <c r="I497" s="21">
        <f>IF(OR(A497="",G497="",G497=0),"",H497/G497)</f>
        <v/>
      </c>
      <c r="J497" s="18" t="n"/>
      <c r="K497" s="22">
        <f>IF(I497="","",IF(I497&gt;=$N$3,"Yes","No"))</f>
        <v/>
      </c>
    </row>
    <row r="498">
      <c r="A498" s="18" t="n"/>
      <c r="B498" s="19" t="n"/>
      <c r="C498" s="19" t="n"/>
      <c r="D498" s="19" t="n"/>
      <c r="E498" s="19" t="n"/>
      <c r="F498" s="20">
        <f>IF(A498="","",SUM(B498:E498))</f>
        <v/>
      </c>
      <c r="G498" s="19" t="n"/>
      <c r="H498" s="20">
        <f>IF(OR(A498="",G498=""),"",G498-F498)</f>
        <v/>
      </c>
      <c r="I498" s="21">
        <f>IF(OR(A498="",G498="",G498=0),"",H498/G498)</f>
        <v/>
      </c>
      <c r="J498" s="18" t="n"/>
      <c r="K498" s="22">
        <f>IF(I498="","",IF(I498&gt;=$N$3,"Yes","No"))</f>
        <v/>
      </c>
    </row>
    <row r="499">
      <c r="A499" s="18" t="n"/>
      <c r="B499" s="19" t="n"/>
      <c r="C499" s="19" t="n"/>
      <c r="D499" s="19" t="n"/>
      <c r="E499" s="19" t="n"/>
      <c r="F499" s="20">
        <f>IF(A499="","",SUM(B499:E499))</f>
        <v/>
      </c>
      <c r="G499" s="19" t="n"/>
      <c r="H499" s="20">
        <f>IF(OR(A499="",G499=""),"",G499-F499)</f>
        <v/>
      </c>
      <c r="I499" s="21">
        <f>IF(OR(A499="",G499="",G499=0),"",H499/G499)</f>
        <v/>
      </c>
      <c r="J499" s="18" t="n"/>
      <c r="K499" s="22">
        <f>IF(I499="","",IF(I499&gt;=$N$3,"Yes","No"))</f>
        <v/>
      </c>
    </row>
    <row r="500">
      <c r="A500" s="18" t="n"/>
      <c r="B500" s="19" t="n"/>
      <c r="C500" s="19" t="n"/>
      <c r="D500" s="19" t="n"/>
      <c r="E500" s="19" t="n"/>
      <c r="F500" s="20">
        <f>IF(A500="","",SUM(B500:E500))</f>
        <v/>
      </c>
      <c r="G500" s="19" t="n"/>
      <c r="H500" s="20">
        <f>IF(OR(A500="",G500=""),"",G500-F500)</f>
        <v/>
      </c>
      <c r="I500" s="21">
        <f>IF(OR(A500="",G500="",G500=0),"",H500/G500)</f>
        <v/>
      </c>
      <c r="J500" s="18" t="n"/>
      <c r="K500" s="22">
        <f>IF(I500="","",IF(I500&gt;=$N$3,"Yes","No"))</f>
        <v/>
      </c>
    </row>
    <row r="501">
      <c r="A501" s="18" t="n"/>
      <c r="B501" s="19" t="n"/>
      <c r="C501" s="19" t="n"/>
      <c r="D501" s="19" t="n"/>
      <c r="E501" s="19" t="n"/>
      <c r="F501" s="20">
        <f>IF(A501="","",SUM(B501:E501))</f>
        <v/>
      </c>
      <c r="G501" s="19" t="n"/>
      <c r="H501" s="20">
        <f>IF(OR(A501="",G501=""),"",G501-F501)</f>
        <v/>
      </c>
      <c r="I501" s="21">
        <f>IF(OR(A501="",G501="",G501=0),"",H501/G501)</f>
        <v/>
      </c>
      <c r="J501" s="18" t="n"/>
      <c r="K501" s="22">
        <f>IF(I501="","",IF(I501&gt;=$N$3,"Yes","No"))</f>
        <v/>
      </c>
    </row>
    <row r="502">
      <c r="A502" s="18" t="n"/>
      <c r="B502" s="19" t="n"/>
      <c r="C502" s="19" t="n"/>
      <c r="D502" s="19" t="n"/>
      <c r="E502" s="19" t="n"/>
      <c r="F502" s="20">
        <f>IF(A502="","",SUM(B502:E502))</f>
        <v/>
      </c>
      <c r="G502" s="19" t="n"/>
      <c r="H502" s="20">
        <f>IF(OR(A502="",G502=""),"",G502-F502)</f>
        <v/>
      </c>
      <c r="I502" s="21">
        <f>IF(OR(A502="",G502="",G502=0),"",H502/G502)</f>
        <v/>
      </c>
      <c r="J502" s="18" t="n"/>
      <c r="K502" s="22">
        <f>IF(I502="","",IF(I502&gt;=$N$3,"Yes","No"))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2026-09-28T22:07:09Z</dcterms:created>
  <dcterms:modified xsi:type="dcterms:W3CDTF">2026-09-28T22:07:09Z</dcterms:modified>
</cp:coreProperties>
</file>